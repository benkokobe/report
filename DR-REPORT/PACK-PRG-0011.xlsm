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7"/>
  </bookViews>
  <sheets>
    <sheet name="Summary" sheetId="1" r:id="rId1"/>
    <sheet name="Status repot" sheetId="31" r:id="rId2"/>
    <sheet name="pk_check_package before" sheetId="3" r:id="rId3"/>
    <sheet name="Patch list" sheetId="27" r:id="rId4"/>
    <sheet name="DB member list" sheetId="28" r:id="rId5"/>
    <sheet name="TFT op." sheetId="29" r:id="rId6"/>
    <sheet name="List Of Synergy Objects" sheetId="30" r:id="rId7"/>
    <sheet name="DB tables impacte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4" hidden="1">'DB member list'!$A$1:$G$1</definedName>
    <definedName name="_xlnm._FilterDatabase" localSheetId="7" hidden="1">'DB tables impactes'!$A$1:$C$1</definedName>
    <definedName name="_xlnm._FilterDatabase" localSheetId="6" hidden="1">'List Of Synergy Objects'!$A$1:$F$1</definedName>
    <definedName name="_xlnm._FilterDatabase" localSheetId="3" hidden="1">'Patch list'!$A$1:$G$1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op.'!$A$1:$S$1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<sst xmlns="http://schemas.openxmlformats.org/spreadsheetml/2006/main" count="1411" uniqueCount="509">
  <si>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</si>
  <si>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</si>
  <si>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</si>
  <si>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</si>
  <si>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</si>
  <si>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</si>
  <si>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</si>
  <si>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</si>
  <si>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</si>
  <si>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</si>
  <si>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</si>
  <si>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</si>
  <si>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</si>
  <si>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</si>
  <si>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</si>
  <si>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</si>
  <si>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</si>
  <si>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</si>
  <si>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</si>
  <si>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</si>
  <si>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</si>
  <si>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</si>
  <si>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</si>
  <si>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</si>
  <si>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</si>
  <si>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</si>
  <si>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</si>
  <si>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</si>
  <si>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</si>
  <si>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</si>
  <si>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</si>
  <si>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</si>
  <si>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</si>
  <si>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</si>
  <si>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</si>
  <si>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</si>
  <si>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</si>
  <si>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</si>
  <si>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</si>
  <si>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</si>
  <si>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</si>
  <si>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</si>
  <si>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</si>
  <si>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</si>
  <si>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</si>
  <si>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</si>
  <si>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</si>
  <si>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</si>
  <si>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</si>
  <si>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</si>
  <si>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</si>
  <si>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</si>
  <si>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</si>
  <si>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</si>
  <si>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</si>
  <si>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</si>
  <si>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</si>
  <si>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</si>
  <si>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</si>
  <si>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</si>
  <si>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</si>
  <si>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</si>
  <si>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</si>
  <si>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</si>
  <si>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</si>
  <si>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</si>
  <si>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</si>
  <si>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</si>
  <si>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</si>
  <si>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</si>
  <si>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</si>
  <si>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</si>
  <si>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</si>
  <si>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</si>
  <si>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</si>
  <si>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</si>
  <si>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</si>
  <si>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</si>
  <si>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</si>
  <si>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</si>
  <si>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</si>
  <si>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</si>
  <si>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</si>
  <si>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</si>
  <si>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</si>
  <si>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</si>
  <si>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</si>
  <si>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</si>
  <si>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</si>
  <si>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</si>
  <si>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</si>
  <si>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</si>
  <si>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</si>
  <si>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</si>
  <si>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</si>
  <si>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</si>
  <si>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</si>
  <si>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</si>
  <si>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</si>
  <si>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</si>
  <si>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</si>
  <si>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</si>
  <si>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</si>
  <si>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</si>
  <si>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</si>
  <si>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</si>
  <si>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</si>
  <si>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</si>
  <si>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</si>
  <si>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</si>
  <si>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</si>
  <si>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</si>
  <si>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</si>
  <si>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</si>
  <si>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</si>
  <si>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</si>
  <si>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</si>
  <si>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</si>
  <si>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</si>
  <si>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</si>
  <si>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</si>
  <si>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</si>
  <si>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</si>
  <si>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</si>
  <si>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</si>
  <si>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</si>
  <si>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</si>
  <si>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</si>
  <si>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</si>
  <si>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</si>
  <si>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</si>
  <si>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</si>
  <si>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</si>
  <si>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</si>
  <si>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</si>
  <si>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</si>
  <si>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</si>
  <si>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</si>
  <si>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</si>
  <si>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</si>
  <si>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</si>
  <si>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</si>
  <si>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</si>
  <si>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</si>
  <si>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</si>
  <si>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</si>
  <si>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</si>
  <si>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</si>
  <si>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</si>
  <si>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</si>
  <si>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</si>
  <si>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</si>
  <si>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</si>
  <si>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</si>
  <si>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</si>
  <si>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</si>
  <si>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</si>
  <si>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</si>
  <si>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</si>
  <si>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</si>
  <si>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</si>
  <si>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</si>
  <si>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</si>
  <si>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</si>
  <si>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</si>
  <si>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</si>
  <si>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</si>
  <si>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</si>
  <si>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</si>
  <si>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</si>
  <si>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</si>
  <si>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</si>
  <si>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</si>
  <si>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</si>
  <si>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</si>
  <si>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</si>
  <si>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</si>
  <si>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</si>
  <si>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</si>
  <si>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</si>
  <si>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</si>
  <si>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</si>
  <si>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</si>
  <si>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</si>
  <si>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</si>
  <si>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</si>
  <si>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</si>
  <si>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</si>
  <si>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</si>
  <si>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</si>
  <si>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</si>
  <si>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</si>
  <si>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</si>
  <si>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Substep</t>
  </si>
  <si>
    <t>Batches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</si>
  <si>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</si>
  <si>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</si>
  <si>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</si>
  <si>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</si>
  <si>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</si>
  <si>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</si>
  <si>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</si>
  <si>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</si>
  <si>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</si>
  <si>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</si>
  <si>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</si>
  <si>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</si>
  <si>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</si>
  <si>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</si>
  <si>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</si>
  <si>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</si>
  <si>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</si>
  <si>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</si>
  <si>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</si>
  <si>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</si>
  <si>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</si>
  <si>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</si>
  <si>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</si>
  <si>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</si>
  <si>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</si>
  <si>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</si>
  <si>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</si>
  <si>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</si>
  <si>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</si>
  <si>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</si>
  <si>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</si>
  <si>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</si>
  <si>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</si>
  <si>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</si>
  <si>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</si>
  <si>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</si>
  <si>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</si>
  <si>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</si>
  <si>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</si>
  <si>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</si>
  <si>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</si>
  <si>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</si>
  <si>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</si>
  <si>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</si>
  <si>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</si>
  <si>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</si>
  <si>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</si>
  <si>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</si>
  <si>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</si>
  <si>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</si>
  <si>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</si>
  <si>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</si>
  <si>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</si>
  <si>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</si>
  <si>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</si>
  <si>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</si>
  <si>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</si>
  <si>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</si>
  <si>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</si>
  <si>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</si>
  <si>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</si>
  <si>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</si>
  <si>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</si>
  <si>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</si>
  <si>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</si>
  <si>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</si>
  <si>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</si>
  <si>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</si>
  <si>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</si>
  <si>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</si>
  <si>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</si>
  <si>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</si>
  <si>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</si>
  <si>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</si>
  <si>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</si>
  <si>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</si>
  <si>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</si>
  <si>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</si>
  <si>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</si>
  <si>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</si>
  <si>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</si>
  <si>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</si>
  <si>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</si>
  <si>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</si>
  <si>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</si>
  <si>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</si>
  <si>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</si>
  <si>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</si>
  <si>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</si>
  <si>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</si>
  <si>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</si>
  <si>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</si>
  <si>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</si>
  <si>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</si>
  <si>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</si>
  <si>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</si>
  <si>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</si>
  <si>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</si>
  <si>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</si>
  <si>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</si>
  <si>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</si>
  <si>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</si>
  <si>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</si>
  <si>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</si>
  <si>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</si>
  <si>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</si>
  <si>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</si>
  <si>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PNG--&gt;TNG</t>
  </si>
  <si>
    <t>Date</t>
  </si>
  <si>
    <t>TNG</t>
  </si>
  <si>
    <t>PACK-PNG-0034</t>
  </si>
  <si>
    <t>DR closure</t>
  </si>
  <si>
    <t xml:space="preserve">Up </t>
  </si>
  <si>
    <t>P</t>
  </si>
  <si>
    <t>Check conflict status on TNG ( prior to release)</t>
  </si>
  <si>
    <t>Up</t>
  </si>
  <si>
    <t>Start synergy release (till update)</t>
  </si>
  <si>
    <t>Conflict detection</t>
  </si>
  <si>
    <t>Conflict resolution</t>
  </si>
  <si>
    <t>Synchronize TST work area</t>
  </si>
  <si>
    <t>Manual operation before TOS</t>
  </si>
  <si>
    <t xml:space="preserve">P - order ( YE update) </t>
  </si>
  <si>
    <t>Deployment of sources*</t>
  </si>
  <si>
    <t>TOS execution</t>
  </si>
  <si>
    <t>Manual operation after TOS</t>
  </si>
  <si>
    <t>Build v2</t>
  </si>
  <si>
    <t>Build NG</t>
  </si>
  <si>
    <t>(Fix build issues)</t>
  </si>
  <si>
    <t>Deployment of V3 on TNG</t>
  </si>
  <si>
    <t>Environment available for testing</t>
  </si>
  <si>
    <t>POST</t>
  </si>
  <si>
    <t>PRG-TST</t>
  </si>
  <si>
    <t>TST</t>
  </si>
  <si>
    <t>PACK-PRG-0006</t>
  </si>
  <si>
    <t>Create TOS - operation transfer</t>
  </si>
  <si>
    <t>O</t>
  </si>
  <si>
    <t xml:space="preserve">Deployment of sources </t>
  </si>
  <si>
    <t>Extract to DSL</t>
  </si>
  <si>
    <t>Deployment to TST</t>
  </si>
  <si>
    <t>Down</t>
  </si>
  <si>
    <t>Crelan</t>
  </si>
  <si>
    <t>EVI-2 - Release 1.0 to TST</t>
  </si>
  <si>
    <t>New groups</t>
  </si>
  <si>
    <t>Add-ons</t>
  </si>
  <si>
    <t>Project spec</t>
  </si>
  <si>
    <t xml:space="preserve">SaaS-Release-20160219 </t>
  </si>
  <si>
    <t>PACK-PRG-XXXX</t>
  </si>
  <si>
    <t>Compare templates</t>
  </si>
  <si>
    <t>deploy templates on bld evitst eviacp eviexp ewubtst ewubacp ewubexp</t>
  </si>
  <si>
    <t>Steform import parsers</t>
  </si>
  <si>
    <t>Upgrade - Deployment of TST</t>
  </si>
  <si>
    <t>Saas</t>
  </si>
  <si>
    <t>Task ( Release - 20160316)</t>
  </si>
  <si>
    <t>PACK-PRG-0040</t>
  </si>
  <si>
    <t>Start synergy release</t>
  </si>
  <si>
    <t>Deployment of sources</t>
  </si>
  <si>
    <t>TOS execution H order</t>
  </si>
  <si>
    <t>TOS execution U order( HD upgrade)</t>
  </si>
  <si>
    <t>TOS execution T order ( DB members transfer)</t>
  </si>
  <si>
    <t>TOS execution A order</t>
  </si>
  <si>
    <t>Deployment of V3 on TST</t>
  </si>
  <si>
    <t>MEMBER TYPE</t>
  </si>
  <si>
    <t>TABLE</t>
  </si>
  <si>
    <t>PACK-PRG-0011</t>
  </si>
  <si>
    <t xml:space="preserve">[dr] PROD bug fixes 1.1 - 201502xx </t>
  </si>
  <si>
    <t>CHKPRG</t>
  </si>
  <si>
    <t>CHKTST</t>
  </si>
  <si>
    <t>Z00042</t>
  </si>
  <si>
    <t>patch_reviewed</t>
  </si>
  <si>
    <t>JRPC</t>
  </si>
  <si>
    <t>Bug</t>
  </si>
  <si>
    <t>DEV-CHK-001</t>
  </si>
  <si>
    <t xml:space="preserve">[patch] PC - Jsp modification for PCRC04                                         </t>
  </si>
  <si>
    <t>Z00098</t>
  </si>
  <si>
    <t>CL</t>
  </si>
  <si>
    <t xml:space="preserve">[patch] ChinaB000137                                                               </t>
  </si>
  <si>
    <t>Z00100</t>
  </si>
  <si>
    <t>JACOR</t>
  </si>
  <si>
    <t xml:space="preserve">[patch] SCOD43 - ChinaB000120 and ChinaB000126 (Hibernate error) - SUT-5553     </t>
  </si>
  <si>
    <t>Z10327</t>
  </si>
  <si>
    <t>DV</t>
  </si>
  <si>
    <t xml:space="preserve">[patch] DVRL01 - error in quotation manual input                                   </t>
  </si>
  <si>
    <t>Z10328</t>
  </si>
  <si>
    <t xml:space="preserve">[patch] [Patch] Error in detecting the duplicate clients                           </t>
  </si>
  <si>
    <t>Z10329</t>
  </si>
  <si>
    <t>Adaptation for external development</t>
  </si>
  <si>
    <t xml:space="preserve">[patch] Add missing argument "SA" into zz052       </t>
  </si>
  <si>
    <t>Z10330</t>
  </si>
  <si>
    <t>CC</t>
  </si>
  <si>
    <t>New functionality</t>
  </si>
  <si>
    <t xml:space="preserve">[patch] CCOC01 - No default currency when creating a client account. </t>
  </si>
  <si>
    <t>CLA1</t>
  </si>
  <si>
    <t>07</t>
  </si>
  <si>
    <t>2</t>
  </si>
  <si>
    <t>DVR3V</t>
  </si>
  <si>
    <t>03</t>
  </si>
  <si>
    <t>CLR4R</t>
  </si>
  <si>
    <t>05</t>
  </si>
  <si>
    <t>052/SA</t>
  </si>
  <si>
    <t>11</t>
  </si>
  <si>
    <t>1</t>
  </si>
  <si>
    <t>CCM1</t>
  </si>
  <si>
    <t>CCC1</t>
  </si>
  <si>
    <t>CCA1</t>
  </si>
  <si>
    <t>CCD1</t>
  </si>
  <si>
    <t>000531BA</t>
  </si>
  <si>
    <t>000010</t>
  </si>
  <si>
    <t>000000</t>
  </si>
  <si>
    <t>NUMTFT-not-added</t>
  </si>
  <si>
    <t xml:space="preserve"> </t>
  </si>
  <si>
    <t>SVRCFG</t>
  </si>
  <si>
    <t>N</t>
  </si>
  <si>
    <t>BESU</t>
  </si>
  <si>
    <t>YF</t>
  </si>
  <si>
    <t>pk_checkTfMbr -o ./list_mbr_notTf.csv ya ./list_mbr.csv</t>
  </si>
  <si>
    <t>000020</t>
  </si>
  <si>
    <t>SVRBIN</t>
  </si>
  <si>
    <t>pk_checkTfMbr -o ./list_mbr_nt.csv nt ./list_mbr.csv</t>
  </si>
  <si>
    <t>000030</t>
  </si>
  <si>
    <t>Y</t>
  </si>
  <si>
    <t>BAS</t>
  </si>
  <si>
    <t>Disable the Thaler BAS/FAS caches (JMX:cacheBean:disableAllCaches)</t>
  </si>
  <si>
    <t>000040</t>
  </si>
  <si>
    <t>DBDATA</t>
  </si>
  <si>
    <t>BES</t>
  </si>
  <si>
    <t>pk_update &lt;NBRSOC&gt; CWD92 "delete from cwd92"</t>
  </si>
  <si>
    <t>000050</t>
  </si>
  <si>
    <t>pk_cache BES disable</t>
  </si>
  <si>
    <t>000060</t>
  </si>
  <si>
    <t>DP</t>
  </si>
  <si>
    <t>DB-U</t>
  </si>
  <si>
    <t>pk_importDP -d ./DP</t>
  </si>
  <si>
    <t>000070</t>
  </si>
  <si>
    <t>pk_importDD -d ./DD</t>
  </si>
  <si>
    <t>000080</t>
  </si>
  <si>
    <t>SECU3</t>
  </si>
  <si>
    <t>pk_cm_generate_dba -c</t>
  </si>
  <si>
    <t>000090</t>
  </si>
  <si>
    <t>D</t>
  </si>
  <si>
    <t>pk_cm_generate_dba PACK-PRG-0011 TOS-000531BA D</t>
  </si>
  <si>
    <t>000100</t>
  </si>
  <si>
    <t>Check and execute the DBA run sheet $proc/cr_create/dba.PACK-PRG-0011.TOS-000531BA.S.D.runsheet.txt</t>
  </si>
  <si>
    <t>000110</t>
  </si>
  <si>
    <t>000120</t>
  </si>
  <si>
    <t>U</t>
  </si>
  <si>
    <t>pk_cm_generate_dba PACK-PRG-0011 TOS-000531BA U</t>
  </si>
  <si>
    <t>000130</t>
  </si>
  <si>
    <t>Check and execute the DBA run sheet $proc/cr_create/dba.PACK-PRG-0011.TOS-000531BA.S.U.runsheet.txt</t>
  </si>
  <si>
    <t>000140</t>
  </si>
  <si>
    <t>A</t>
  </si>
  <si>
    <t>pk_genCopy -e DVR3V</t>
  </si>
  <si>
    <t>000150</t>
  </si>
  <si>
    <t>PARAM</t>
  </si>
  <si>
    <t>pk_update_va &lt;NBRSOC&gt; DVR3V COUTIT-PCE-MAX '10000'</t>
  </si>
  <si>
    <t>000160</t>
  </si>
  <si>
    <t>000200</t>
  </si>
  <si>
    <t>pk_update_va &lt;NBRSOC&gt; DVR3V COUTIT-NOM-MAX '500'</t>
  </si>
  <si>
    <t>000170</t>
  </si>
  <si>
    <t>pk_downmoni &lt;NBRSOC&gt;</t>
  </si>
  <si>
    <t>000180</t>
  </si>
  <si>
    <t>pk_submit -y CWCHGCFG &lt;NBRSOC&gt;</t>
  </si>
  <si>
    <t>000190</t>
  </si>
  <si>
    <t>pk_bootmoni 1 &lt;NBRSOC&gt;</t>
  </si>
  <si>
    <t>pk_gensrc CWK3</t>
  </si>
  <si>
    <t>000210</t>
  </si>
  <si>
    <t>pk_gensrc CWK4</t>
  </si>
  <si>
    <t>000220</t>
  </si>
  <si>
    <t>pk_check_upgrade</t>
  </si>
  <si>
    <t>000230</t>
  </si>
  <si>
    <t>pk_cache BES enable</t>
  </si>
  <si>
    <t>000240</t>
  </si>
  <si>
    <t>Enable the Thaler BAS/FAS caches (JMX:cacheBean:enableAllCaches)</t>
  </si>
  <si>
    <t>000250</t>
  </si>
  <si>
    <t>C</t>
  </si>
  <si>
    <t>BREAK</t>
  </si>
  <si>
    <t>BO</t>
  </si>
  <si>
    <t>Compile DVR3R.cbl</t>
  </si>
  <si>
    <t>000260</t>
  </si>
  <si>
    <t>pk_importYE -d ./YE ./list_mnt.txt</t>
  </si>
  <si>
    <t>createPortfolioConstraintToProductLinkActions01.jsp</t>
  </si>
  <si>
    <t>chk#337</t>
  </si>
  <si>
    <t>jsp</t>
  </si>
  <si>
    <t>chk#5</t>
  </si>
  <si>
    <t>br#1</t>
  </si>
  <si>
    <t>chk#6</t>
  </si>
  <si>
    <t>CLR4R.cbl</t>
  </si>
  <si>
    <t>chk#663</t>
  </si>
  <si>
    <t>cbl</t>
  </si>
  <si>
    <t>chk#2.1.1.1.2</t>
  </si>
  <si>
    <t>CLA1.cbl</t>
  </si>
  <si>
    <t>chk#665</t>
  </si>
  <si>
    <t>chk#3.1.36</t>
  </si>
  <si>
    <t>HbGenericDaoHibernateImpl.java</t>
  </si>
  <si>
    <t>chk#667</t>
  </si>
  <si>
    <t>java</t>
  </si>
  <si>
    <t>chk#9</t>
  </si>
  <si>
    <t>cw#1</t>
  </si>
  <si>
    <t>CCT1.mdl</t>
  </si>
  <si>
    <t>chk#668</t>
  </si>
  <si>
    <t>mdl</t>
  </si>
  <si>
    <t>chk#27.1.28.1.2</t>
  </si>
  <si>
    <t>chk#669</t>
  </si>
  <si>
    <t>chk#10</t>
  </si>
  <si>
    <t>YAD01</t>
  </si>
  <si>
    <t>TAD01</t>
  </si>
  <si>
    <t>HDD01</t>
  </si>
  <si>
    <t>HDD02</t>
  </si>
  <si>
    <t>HDD03</t>
  </si>
  <si>
    <t>HDD05</t>
  </si>
  <si>
    <t>HDD07</t>
  </si>
  <si>
    <t>HDD16</t>
  </si>
  <si>
    <t>VAD01</t>
  </si>
  <si>
    <t>CWD03</t>
  </si>
  <si>
    <t>CWD12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</si>
</sst>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rgb="FFFFCC00"/>
      <name val="Calibri"/>
      <family val="2"/>
    </font>
    <font>
      <b/>
      <sz val="11"/>
      <color rgb="FFFFCC33"/>
      <name val="Calibri"/>
      <family val="2"/>
    </font>
    <font>
      <b/>
      <sz val="11"/>
      <color rgb="FF000000"/>
      <name val="Calibri"/>
      <family val="2"/>
    </font>
    <font>
      <b/>
      <sz val="11"/>
      <color rgb="FF00B050"/>
      <name val="Wingdings 2"/>
      <family val="1"/>
      <charset val="2"/>
    </font>
    <font>
      <b/>
      <sz val="11"/>
      <name val="Calibri"/>
      <family val="2"/>
    </font>
    <font>
      <b/>
      <sz val="11"/>
      <color rgb="FFFF0000"/>
      <name val="Wingdings 2"/>
      <family val="1"/>
      <charset val="2"/>
    </font>
    <font>
      <b/>
      <sz val="11"/>
      <color rgb="FFFFCC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  <fill>
      <patternFill patternType="solid">
        <fgColor rgb="FF0452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F3F3F"/>
      </left>
      <right style="medium">
        <color rgb="FF3F3F3F"/>
      </right>
      <top/>
      <bottom style="medium">
        <color rgb="FF3F3F3F"/>
      </bottom>
      <diagonal/>
    </border>
    <border>
      <left/>
      <right style="medium">
        <color rgb="FF3F3F3F"/>
      </right>
      <top/>
      <bottom style="medium">
        <color rgb="FF3F3F3F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3F3F3F"/>
      </right>
      <top/>
      <bottom/>
      <diagonal/>
    </border>
    <border>
      <left/>
      <right/>
      <top/>
      <bottom style="medium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4" fillId="36" borderId="29" applyNumberFormat="0" applyAlignment="0" applyProtection="0"/>
    <xf numFmtId="0" fontId="25" fillId="37" borderId="0" applyNumberFormat="0" applyBorder="0" applyAlignment="0" applyProtection="0"/>
  </cellStyleXfs>
  <cellXfs count="9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0" xfId="13" applyBorder="1"/>
    <xf numFmtId="0" fontId="0" fillId="0" borderId="14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1" xfId="42" applyBorder="1" applyAlignment="1"/>
    <xf numFmtId="0" fontId="21" fillId="0" borderId="22" xfId="42" applyBorder="1" applyAlignment="1"/>
    <xf numFmtId="0" fontId="13" fillId="7" borderId="20" xfId="13" applyBorder="1" applyAlignment="1"/>
    <xf numFmtId="0" fontId="13" fillId="7" borderId="20" xfId="13" applyBorder="1" applyAlignment="1">
      <alignment horizontal="center"/>
    </xf>
    <xf numFmtId="0" fontId="21" fillId="0" borderId="0" xfId="42" applyBorder="1" applyAlignme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33" borderId="17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vertical="center"/>
    </xf>
    <xf numFmtId="0" fontId="13" fillId="7" borderId="20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4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4" xfId="0" applyFill="1" applyBorder="1"/>
    <xf numFmtId="0" fontId="0" fillId="0" borderId="0" xfId="0"/>
    <xf numFmtId="0" fontId="0" fillId="0" borderId="25" xfId="0" applyFill="1" applyBorder="1"/>
    <xf numFmtId="0" fontId="3" fillId="0" borderId="1" xfId="2"/>
    <xf numFmtId="0" fontId="13" fillId="7" borderId="20" xfId="13" applyBorder="1" applyAlignment="1">
      <alignment vertical="top"/>
    </xf>
    <xf numFmtId="0" fontId="0" fillId="0" borderId="0" xfId="0" applyAlignment="1">
      <alignment wrapText="1"/>
    </xf>
    <xf numFmtId="0" fontId="13" fillId="7" borderId="20" xfId="13" applyBorder="1" applyAlignment="1">
      <alignment horizontal="center" vertical="center"/>
    </xf>
    <xf numFmtId="0" fontId="24" fillId="36" borderId="29" xfId="44" applyNumberFormat="1" applyFont="1" applyAlignment="1" applyProtection="1"/>
    <xf numFmtId="0" fontId="24" fillId="36" borderId="30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5" fillId="37" borderId="29" xfId="45" applyNumberFormat="1" applyFont="1" applyBorder="1" applyAlignment="1" applyProtection="1"/>
    <xf numFmtId="0" fontId="25" fillId="37" borderId="0" xfId="45" applyNumberFormat="1" applyFont="1" applyBorder="1" applyAlignment="1" applyProtection="1"/>
    <xf numFmtId="0" fontId="24" fillId="36" borderId="31" xfId="44" applyNumberFormat="1" applyFont="1" applyBorder="1" applyAlignment="1" applyProtection="1"/>
    <xf numFmtId="0" fontId="24" fillId="36" borderId="29" xfId="44"/>
    <xf numFmtId="0" fontId="27" fillId="38" borderId="10" xfId="0" applyFont="1" applyFill="1" applyBorder="1" applyAlignment="1">
      <alignment vertical="center"/>
    </xf>
    <xf numFmtId="14" fontId="28" fillId="39" borderId="10" xfId="0" applyNumberFormat="1" applyFont="1" applyFill="1" applyBorder="1" applyAlignment="1">
      <alignment horizontal="right" vertical="center"/>
    </xf>
    <xf numFmtId="0" fontId="28" fillId="39" borderId="10" xfId="0" applyFont="1" applyFill="1" applyBorder="1" applyAlignment="1">
      <alignment vertical="center"/>
    </xf>
    <xf numFmtId="0" fontId="29" fillId="39" borderId="10" xfId="0" applyFont="1" applyFill="1" applyBorder="1" applyAlignment="1">
      <alignment horizontal="center" vertical="center"/>
    </xf>
    <xf numFmtId="14" fontId="30" fillId="39" borderId="10" xfId="0" applyNumberFormat="1" applyFont="1" applyFill="1" applyBorder="1" applyAlignment="1">
      <alignment horizontal="right" vertical="center"/>
    </xf>
    <xf numFmtId="0" fontId="30" fillId="39" borderId="10" xfId="0" applyFont="1" applyFill="1" applyBorder="1" applyAlignment="1">
      <alignment vertical="center"/>
    </xf>
    <xf numFmtId="0" fontId="27" fillId="38" borderId="34" xfId="0" applyFont="1" applyFill="1" applyBorder="1" applyAlignment="1">
      <alignment vertical="center"/>
    </xf>
    <xf numFmtId="0" fontId="27" fillId="38" borderId="19" xfId="0" applyFont="1" applyFill="1" applyBorder="1" applyAlignment="1">
      <alignment vertical="center"/>
    </xf>
    <xf numFmtId="14" fontId="28" fillId="39" borderId="35" xfId="0" applyNumberFormat="1" applyFont="1" applyFill="1" applyBorder="1" applyAlignment="1">
      <alignment horizontal="right" vertical="center"/>
    </xf>
    <xf numFmtId="0" fontId="28" fillId="39" borderId="36" xfId="0" applyFont="1" applyFill="1" applyBorder="1" applyAlignment="1">
      <alignment vertical="center"/>
    </xf>
    <xf numFmtId="0" fontId="29" fillId="39" borderId="36" xfId="0" applyFont="1" applyFill="1" applyBorder="1" applyAlignment="1">
      <alignment horizontal="center" vertical="center"/>
    </xf>
    <xf numFmtId="0" fontId="31" fillId="39" borderId="36" xfId="0" applyFont="1" applyFill="1" applyBorder="1" applyAlignment="1">
      <alignment horizontal="center" vertical="center"/>
    </xf>
    <xf numFmtId="14" fontId="16" fillId="39" borderId="35" xfId="0" applyNumberFormat="1" applyFont="1" applyFill="1" applyBorder="1" applyAlignment="1">
      <alignment horizontal="right" vertical="center"/>
    </xf>
    <xf numFmtId="0" fontId="16" fillId="39" borderId="36" xfId="0" applyFont="1" applyFill="1" applyBorder="1" applyAlignment="1">
      <alignment vertical="center"/>
    </xf>
    <xf numFmtId="0" fontId="29" fillId="39" borderId="38" xfId="0" applyFont="1" applyFill="1" applyBorder="1" applyAlignment="1">
      <alignment horizontal="center" vertical="center"/>
    </xf>
    <xf numFmtId="0" fontId="16" fillId="39" borderId="39" xfId="0" applyFont="1" applyFill="1" applyBorder="1" applyAlignment="1">
      <alignment vertical="center"/>
    </xf>
    <xf numFmtId="0" fontId="29" fillId="39" borderId="40" xfId="0" applyFont="1" applyFill="1" applyBorder="1" applyAlignment="1">
      <alignment horizontal="center" vertical="center"/>
    </xf>
    <xf numFmtId="0" fontId="29" fillId="39" borderId="41" xfId="0" applyFont="1" applyFill="1" applyBorder="1" applyAlignment="1">
      <alignment horizontal="center" vertical="center"/>
    </xf>
    <xf numFmtId="0" fontId="33" fillId="40" borderId="0" xfId="0" applyFont="1" applyFill="1"/>
    <xf numFmtId="0" fontId="6" fillId="2" borderId="0" xfId="6"/>
    <xf numFmtId="0" fontId="34" fillId="2" borderId="0" xfId="6" applyFont="1"/>
    <xf numFmtId="0" fontId="17" fillId="25" borderId="26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27" xfId="13" applyBorder="1" applyAlignment="1">
      <alignment horizontal="center" vertical="center"/>
    </xf>
    <xf numFmtId="0" fontId="13" fillId="7" borderId="28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6" fillId="38" borderId="14" xfId="0" applyFont="1" applyFill="1" applyBorder="1" applyAlignment="1">
      <alignment horizontal="center" vertical="center"/>
    </xf>
    <xf numFmtId="0" fontId="26" fillId="38" borderId="15" xfId="0" applyFont="1" applyFill="1" applyBorder="1" applyAlignment="1">
      <alignment horizontal="center" vertical="center"/>
    </xf>
    <xf numFmtId="0" fontId="26" fillId="38" borderId="16" xfId="0" applyFont="1" applyFill="1" applyBorder="1" applyAlignment="1">
      <alignment horizontal="center" vertical="center"/>
    </xf>
    <xf numFmtId="0" fontId="26" fillId="38" borderId="32" xfId="0" applyFont="1" applyFill="1" applyBorder="1" applyAlignment="1">
      <alignment horizontal="center" vertical="center"/>
    </xf>
    <xf numFmtId="0" fontId="26" fillId="38" borderId="33" xfId="0" applyFont="1" applyFill="1" applyBorder="1" applyAlignment="1">
      <alignment horizontal="center" vertical="center"/>
    </xf>
    <xf numFmtId="0" fontId="32" fillId="38" borderId="32" xfId="0" applyFont="1" applyFill="1" applyBorder="1" applyAlignment="1">
      <alignment horizontal="center" vertical="center"/>
    </xf>
    <xf numFmtId="0" fontId="32" fillId="38" borderId="33" xfId="0" applyFont="1" applyFill="1" applyBorder="1" applyAlignment="1">
      <alignment horizontal="center" vertical="center"/>
    </xf>
    <xf numFmtId="0" fontId="32" fillId="38" borderId="37" xfId="0" applyFont="1" applyFill="1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0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externalLinks/externalLink1.xml" Type="http://schemas.openxmlformats.org/officeDocument/2006/relationships/externalLink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printerSettings/printerSettings8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24" activePane="bottomLeft" state="frozen"/>
      <selection pane="bottomLeft" activeCell="A24" sqref="A24"/>
    </sheetView>
  </sheetViews>
  <sheetFormatPr defaultRowHeight="15" x14ac:dyDescent="0.25"/>
  <cols>
    <col min="1" max="1" bestFit="true" customWidth="true" style="23" width="7.5703125" collapsed="true"/>
    <col min="2" max="2" bestFit="true" customWidth="true" style="38" width="13.5703125" collapsed="true"/>
    <col min="3" max="3" bestFit="true" customWidth="true" style="23" width="72.5703125" collapsed="true"/>
    <col min="4" max="4" bestFit="true" customWidth="true" style="23" width="7.85546875" collapsed="true"/>
    <col min="5" max="5" bestFit="true" customWidth="true" style="23" width="7.140625" collapsed="true"/>
    <col min="6" max="6" bestFit="true" customWidth="true" style="23" width="16.42578125" collapsed="true"/>
    <col min="7" max="7" bestFit="true" customWidth="true" style="23" width="15.0" collapsed="true"/>
    <col min="8" max="8" bestFit="true" customWidth="true" style="23" width="5.7109375" collapsed="true"/>
    <col min="9" max="9" bestFit="true" customWidth="true" style="23" width="73.28515625" collapsed="true"/>
    <col min="10" max="10" bestFit="true" customWidth="true" style="23" width="100.28515625" collapsed="true"/>
    <col min="11" max="11" customWidth="true" style="23" width="58.85546875" collapsed="true"/>
    <col min="12" max="16384" style="23" width="9.140625" collapsed="true"/>
  </cols>
  <sheetData>
    <row r="1" spans="1:10" ht="3.75" customHeight="1" x14ac:dyDescent="0.25">
      <c r="A1" s="19"/>
      <c r="B1" s="37"/>
      <c r="C1" s="20"/>
      <c r="D1" s="20"/>
      <c r="E1" s="21"/>
      <c r="F1" s="22"/>
      <c r="G1" s="22"/>
      <c r="H1" s="22"/>
      <c r="I1" s="22"/>
      <c r="J1"/>
    </row>
    <row r="2" spans="1:10" ht="15" customHeight="1" x14ac:dyDescent="0.25">
      <c r="A2" s="83" t="s">
        <v>5</v>
      </c>
      <c r="B2" s="84"/>
      <c r="C2" s="26" t="s">
        <v>359</v>
      </c>
      <c r="D2" s="27"/>
      <c r="E2" s="25" t="s">
        <v>155</v>
      </c>
      <c r="F2" s="23" t="s">
        <v>360</v>
      </c>
      <c r="G2" s="25" t="s">
        <v>156</v>
      </c>
      <c r="H2" s="23" t="s">
        <v>361</v>
      </c>
      <c r="I2" s="28"/>
      <c r="J2"/>
    </row>
    <row r="3" spans="1:10" ht="3.75" customHeight="1" x14ac:dyDescent="0.25">
      <c r="A3" s="24"/>
      <c r="B3" s="39"/>
      <c r="C3" s="27"/>
      <c r="D3" s="27"/>
      <c r="E3" s="27"/>
      <c r="F3" s="27"/>
      <c r="G3" s="27"/>
      <c r="H3" s="27"/>
      <c r="I3" s="28"/>
      <c r="J3"/>
    </row>
    <row r="4" spans="1:10" ht="15" customHeight="1" x14ac:dyDescent="0.25">
      <c r="A4" s="83" t="s">
        <v>158</v>
      </c>
      <c r="B4" s="85"/>
      <c r="C4" s="44"/>
      <c r="D4" s="27"/>
      <c r="E4" s="25" t="s">
        <v>3</v>
      </c>
      <c r="F4" s="26" t="s">
        <v>187</v>
      </c>
      <c r="G4" s="25" t="s">
        <v>157</v>
      </c>
      <c r="H4" s="26" t="s">
        <v>72</v>
      </c>
      <c r="I4" s="28"/>
      <c r="J4"/>
    </row>
    <row r="5" spans="1:10" ht="3.75" customHeight="1" x14ac:dyDescent="0.25">
      <c r="A5" s="24"/>
      <c r="B5" s="39"/>
      <c r="C5" s="27"/>
      <c r="D5" s="27"/>
      <c r="E5" s="28"/>
      <c r="F5" s="27"/>
      <c r="G5" s="27"/>
      <c r="H5" s="27"/>
      <c r="I5" s="28"/>
      <c r="J5"/>
    </row>
    <row r="6" spans="1:10" ht="3.75" customHeight="1" x14ac:dyDescent="0.25">
      <c r="A6" s="24"/>
      <c r="B6" s="39"/>
      <c r="C6" s="27"/>
      <c r="D6" s="27"/>
      <c r="E6" s="27"/>
      <c r="F6" s="27"/>
      <c r="G6" s="27"/>
      <c r="H6" s="27"/>
      <c r="I6" s="28"/>
      <c r="J6"/>
    </row>
    <row r="7" spans="1:10" ht="15" customHeight="1" x14ac:dyDescent="0.25">
      <c r="A7" s="83" t="s">
        <v>181</v>
      </c>
      <c r="B7" s="84"/>
      <c r="C7" s="47"/>
      <c r="D7" s="27"/>
      <c r="E7" s="25" t="s">
        <v>159</v>
      </c>
      <c r="F7" s="29"/>
      <c r="G7" s="25" t="s">
        <v>160</v>
      </c>
      <c r="H7" s="44"/>
      <c r="I7" s="28"/>
      <c r="J7"/>
    </row>
    <row r="8" spans="1:10" ht="3.75" customHeight="1" x14ac:dyDescent="0.25">
      <c r="A8" s="24"/>
      <c r="B8" s="39"/>
      <c r="C8" s="27"/>
      <c r="D8" s="27"/>
      <c r="E8" s="25"/>
      <c r="F8" s="28"/>
      <c r="G8" s="28"/>
      <c r="H8" s="25"/>
      <c r="I8" s="28"/>
      <c r="J8"/>
    </row>
    <row r="9" spans="1:10" ht="15" customHeight="1" x14ac:dyDescent="0.25">
      <c r="A9" s="83" t="s">
        <v>161</v>
      </c>
      <c r="B9" s="84"/>
      <c r="C9" t="s">
        <v>358</v>
      </c>
      <c r="D9" s="27"/>
      <c r="E9" s="25" t="s">
        <v>197</v>
      </c>
      <c r="F9" s="29" t="s">
        <v>195</v>
      </c>
      <c r="G9" s="25" t="s">
        <v>196</v>
      </c>
      <c r="H9" s="29" t="s">
        <v>195</v>
      </c>
      <c r="I9" s="28"/>
      <c r="J9"/>
    </row>
    <row r="10" spans="1:10" ht="3.75" customHeight="1" x14ac:dyDescent="0.25">
      <c r="A10" s="24"/>
      <c r="B10" s="39"/>
      <c r="C10" s="27"/>
      <c r="D10" s="27"/>
      <c r="E10" s="28"/>
      <c r="F10" s="27"/>
      <c r="G10" s="27"/>
      <c r="H10" s="27"/>
      <c r="I10" s="27"/>
      <c r="J10"/>
    </row>
    <row r="11" spans="1:10" ht="15" customHeight="1" x14ac:dyDescent="0.25">
      <c r="A11" s="83" t="s">
        <v>182</v>
      </c>
      <c r="B11" s="84"/>
      <c r="C11" s="43"/>
      <c r="D11" s="30"/>
      <c r="E11" s="30"/>
      <c r="F11" s="30"/>
      <c r="G11" s="30"/>
      <c r="H11" s="30"/>
      <c r="I11" s="31"/>
      <c r="J11"/>
    </row>
    <row r="12" spans="1:10" ht="3.75" customHeight="1" thickBot="1" x14ac:dyDescent="0.3">
      <c r="A12" s="32"/>
      <c r="B12" s="40"/>
      <c r="C12" s="33"/>
      <c r="D12" s="33"/>
      <c r="E12" s="34"/>
      <c r="F12" s="34"/>
      <c r="G12" s="34"/>
      <c r="H12" s="34"/>
      <c r="I12" s="34"/>
      <c r="J12"/>
    </row>
    <row r="13" spans="1:10" ht="15.75" thickBot="1" x14ac:dyDescent="0.3">
      <c r="A13" s="82" t="str">
        <f>CONCATENATE("cd $SH/rmm_32",";","pk_RMM_execProc RMM.cfg RMM_upgradeEnv ",C9)</f>
        <v>cd $SH/rmm_32;pk_RMM_execProc RMM.cfg RMM_upgradeEnv PACK-XXX-XXXX</v>
      </c>
      <c r="B13" s="82"/>
      <c r="C13" s="82"/>
      <c r="D13" s="82"/>
      <c r="E13" s="82"/>
      <c r="F13" s="82"/>
      <c r="G13" s="82"/>
      <c r="H13" s="82"/>
      <c r="I13" s="82"/>
    </row>
    <row r="14" spans="1:10" ht="15" customHeight="1" thickTop="1" x14ac:dyDescent="0.25">
      <c r="A14" s="35" t="s">
        <v>3</v>
      </c>
      <c r="B14" s="52" t="s">
        <v>169</v>
      </c>
      <c r="C14" s="35" t="s">
        <v>6</v>
      </c>
      <c r="D14" s="52" t="s">
        <v>162</v>
      </c>
      <c r="E14" s="52" t="s">
        <v>163</v>
      </c>
      <c r="F14" s="86" t="s">
        <v>8</v>
      </c>
      <c r="G14" s="87"/>
      <c r="H14" s="87"/>
      <c r="I14" s="87"/>
    </row>
    <row r="15" spans="1:10" x14ac:dyDescent="0.25">
      <c r="A15" s="36" t="s">
        <v>0</v>
      </c>
      <c r="B15" s="41" t="s">
        <v>170</v>
      </c>
      <c r="C15" s="36" t="s">
        <v>164</v>
      </c>
      <c r="D15" s="45"/>
      <c r="E15" s="45"/>
      <c r="F15" s="88"/>
      <c r="G15" s="88"/>
      <c r="H15" s="88"/>
      <c r="I15" s="88"/>
    </row>
    <row r="16" spans="1:10" x14ac:dyDescent="0.25">
      <c r="A16" s="36" t="s">
        <v>187</v>
      </c>
      <c r="B16" s="41" t="s">
        <v>170</v>
      </c>
      <c r="C16" s="36" t="s">
        <v>166</v>
      </c>
      <c r="D16" s="45"/>
      <c r="E16" s="36"/>
      <c r="F16" s="88"/>
      <c r="G16" s="88"/>
      <c r="H16" s="88"/>
      <c r="I16" s="88"/>
    </row>
    <row r="17" spans="1:9" x14ac:dyDescent="0.25">
      <c r="A17" s="36" t="s">
        <v>187</v>
      </c>
      <c r="B17" s="41" t="s">
        <v>170</v>
      </c>
      <c r="C17" s="36" t="s">
        <v>165</v>
      </c>
      <c r="D17" s="45"/>
      <c r="E17" s="45"/>
      <c r="F17" s="88"/>
      <c r="G17" s="88"/>
      <c r="H17" s="88"/>
      <c r="I17" s="88"/>
    </row>
    <row r="18" spans="1:9" x14ac:dyDescent="0.25">
      <c r="A18" s="36" t="s">
        <v>187</v>
      </c>
      <c r="B18" s="36" t="s">
        <v>176</v>
      </c>
      <c r="C18" s="36" t="s">
        <v>167</v>
      </c>
      <c r="D18" s="45"/>
      <c r="E18" s="45"/>
      <c r="F18" s="88"/>
      <c r="G18" s="88"/>
      <c r="H18" s="88"/>
      <c r="I18" s="88"/>
    </row>
    <row r="19" spans="1:9" x14ac:dyDescent="0.25">
      <c r="A19" s="36" t="s">
        <v>187</v>
      </c>
      <c r="B19" s="41" t="s">
        <v>171</v>
      </c>
      <c r="C19" s="36" t="str">
        <f>CONCATENATE("Generate the transfer operations on ",F2)</f>
        <v>Generate the transfer operations on From here</v>
      </c>
      <c r="D19" s="45"/>
      <c r="E19" s="45"/>
      <c r="F19" s="88"/>
      <c r="G19" s="88"/>
      <c r="H19" s="88"/>
      <c r="I19" s="88"/>
    </row>
    <row r="20" spans="1:9" x14ac:dyDescent="0.25">
      <c r="A20" s="36" t="s">
        <v>187</v>
      </c>
      <c r="B20" s="41" t="s">
        <v>171</v>
      </c>
      <c r="C20" s="36" t="str">
        <f>CONCATENATE("Check the generated transfer operations for pack ",C11)</f>
        <v xml:space="preserve">Check the generated transfer operations for pack </v>
      </c>
      <c r="D20" s="45"/>
      <c r="E20" s="45"/>
      <c r="F20" s="88"/>
      <c r="G20" s="88"/>
      <c r="H20" s="88"/>
      <c r="I20" s="88"/>
    </row>
    <row r="21" spans="1:9" x14ac:dyDescent="0.25">
      <c r="A21" s="36" t="s">
        <v>187</v>
      </c>
      <c r="B21" s="41" t="s">
        <v>171</v>
      </c>
      <c r="C21" s="36" t="s">
        <v>178</v>
      </c>
      <c r="D21" s="45"/>
      <c r="E21" s="45"/>
      <c r="F21" s="88"/>
      <c r="G21" s="88"/>
      <c r="H21" s="88"/>
      <c r="I21" s="88"/>
    </row>
    <row r="22" spans="1:9" x14ac:dyDescent="0.25">
      <c r="A22" s="36" t="s">
        <v>187</v>
      </c>
      <c r="B22" s="41" t="s">
        <v>171</v>
      </c>
      <c r="C22" s="36" t="s">
        <v>177</v>
      </c>
      <c r="D22" s="45"/>
      <c r="E22" s="45"/>
      <c r="F22" s="88"/>
      <c r="G22" s="88"/>
      <c r="H22" s="88"/>
      <c r="I22" s="88"/>
    </row>
    <row r="23" spans="1:9" x14ac:dyDescent="0.25">
      <c r="A23" s="36" t="s">
        <v>187</v>
      </c>
      <c r="B23" s="41" t="s">
        <v>172</v>
      </c>
      <c r="C23" s="36" t="str">
        <f>CONCATENATE("Add the Synergy tasks to the manual folder of ",H2)</f>
        <v>Add the Synergy tasks to the manual folder of To here</v>
      </c>
      <c r="D23" s="45"/>
      <c r="E23" s="45"/>
      <c r="F23" s="88"/>
      <c r="G23" s="88"/>
      <c r="H23" s="88"/>
      <c r="I23" s="88"/>
    </row>
    <row r="24" spans="1:9" x14ac:dyDescent="0.25">
      <c r="A24" s="36" t="s">
        <v>187</v>
      </c>
      <c r="B24" s="41" t="s">
        <v>172</v>
      </c>
      <c r="C24" s="36" t="str">
        <f>CONCATENATE("Update the Synergy project THALER~",H2)</f>
        <v>Update the Synergy project THALER~To here</v>
      </c>
      <c r="D24" s="45"/>
      <c r="E24" s="45"/>
      <c r="F24" s="88"/>
      <c r="G24" s="88"/>
      <c r="H24" s="88"/>
      <c r="I24" s="88"/>
    </row>
    <row r="25" spans="1:9" x14ac:dyDescent="0.25">
      <c r="A25" s="36" t="s">
        <v>187</v>
      </c>
      <c r="B25" s="41" t="s">
        <v>172</v>
      </c>
      <c r="C25" s="36" t="str">
        <f>CONCATENATE("Detect the conflicts of the Synergy project THALER~",H2)</f>
        <v>Detect the conflicts of the Synergy project THALER~To here</v>
      </c>
      <c r="D25" s="45"/>
      <c r="E25" s="45"/>
      <c r="F25" s="88"/>
      <c r="G25" s="88"/>
      <c r="H25" s="88"/>
      <c r="I25" s="88"/>
    </row>
    <row r="26" spans="1:9" x14ac:dyDescent="0.25">
      <c r="A26" s="36" t="s">
        <v>187</v>
      </c>
      <c r="B26" s="41" t="s">
        <v>172</v>
      </c>
      <c r="C26" s="36" t="str">
        <f>CONCATENATE(" Synchronize the Synergy work area of the project THALER~",H2)</f>
        <v xml:space="preserve"> Synchronize the Synergy work area of the project THALER~To here</v>
      </c>
      <c r="D26" s="45"/>
      <c r="E26" s="45"/>
      <c r="F26" s="88"/>
      <c r="G26" s="88"/>
      <c r="H26" s="88"/>
      <c r="I26" s="88"/>
    </row>
    <row r="27" spans="1:9" x14ac:dyDescent="0.25">
      <c r="A27" s="36" t="s">
        <v>187</v>
      </c>
      <c r="B27" s="41" t="s">
        <v>173</v>
      </c>
      <c r="C27" s="36" t="s">
        <v>179</v>
      </c>
      <c r="D27" s="45"/>
      <c r="E27" s="45"/>
      <c r="F27" s="88"/>
      <c r="G27" s="88"/>
      <c r="H27" s="88"/>
      <c r="I27" s="88"/>
    </row>
    <row r="28" spans="1:9" x14ac:dyDescent="0.25">
      <c r="A28" s="36" t="s">
        <v>187</v>
      </c>
      <c r="B28" s="41" t="s">
        <v>174</v>
      </c>
      <c r="C28" s="36" t="s">
        <v>180</v>
      </c>
      <c r="D28" s="45"/>
      <c r="E28" s="45"/>
      <c r="F28" s="88"/>
      <c r="G28" s="88"/>
      <c r="H28" s="88"/>
      <c r="I28" s="88"/>
    </row>
    <row r="29" spans="1:9" x14ac:dyDescent="0.25">
      <c r="A29" s="36" t="s">
        <v>187</v>
      </c>
      <c r="B29" s="41" t="s">
        <v>174</v>
      </c>
      <c r="C29" s="36" t="str">
        <f>CONCATENATE("Execute the 'P' transfers of the TOS ",C11," on the master BES")</f>
        <v>Execute the 'P' transfers of the TOS  on the master BES</v>
      </c>
      <c r="D29" s="45"/>
      <c r="E29" s="45"/>
      <c r="F29" s="88"/>
      <c r="G29" s="88"/>
      <c r="H29" s="88"/>
      <c r="I29" s="88"/>
    </row>
    <row r="30" spans="1:9" x14ac:dyDescent="0.25">
      <c r="A30" s="36" t="s">
        <v>187</v>
      </c>
      <c r="B30" s="41" t="s">
        <v>174</v>
      </c>
      <c r="C30" s="36" t="str">
        <f>CONCATENATE("Detect membership conflicts of the TOS '",C9,"' using the Flattening")</f>
        <v>Detect membership conflicts of the TOS 'PACK-XXX-XXXX' using the Flattening</v>
      </c>
      <c r="D30" s="45"/>
      <c r="E30" s="45"/>
      <c r="F30" s="88"/>
      <c r="G30" s="88"/>
      <c r="H30" s="88"/>
      <c r="I30" s="88"/>
    </row>
    <row r="31" spans="1:9" x14ac:dyDescent="0.25">
      <c r="A31" s="36" t="s">
        <v>187</v>
      </c>
      <c r="B31" s="41" t="s">
        <v>172</v>
      </c>
      <c r="C31" s="36" t="str">
        <f>CONCATENATE("Deploy the Synergy tasks on project THALER~",H2)</f>
        <v>Deploy the Synergy tasks on project THALER~To here</v>
      </c>
      <c r="D31" s="45"/>
      <c r="E31" s="45"/>
      <c r="F31" s="88"/>
      <c r="G31" s="88"/>
      <c r="H31" s="88"/>
      <c r="I31" s="88"/>
    </row>
    <row r="32" spans="1:9" ht="21" customHeight="1" x14ac:dyDescent="0.25">
      <c r="A32" s="36" t="s">
        <v>187</v>
      </c>
      <c r="B32" s="41" t="s">
        <v>173</v>
      </c>
      <c r="C32" s="36" t="str">
        <f>CONCATENATE("Compare all templates before their deployment into the projects of ",H2)</f>
        <v>Compare all templates before their deployment into the projects of To here</v>
      </c>
      <c r="D32" s="45"/>
      <c r="E32" s="45"/>
      <c r="F32" s="88"/>
      <c r="G32" s="88"/>
      <c r="H32" s="88"/>
      <c r="I32" s="88"/>
    </row>
    <row r="33" spans="1:9" x14ac:dyDescent="0.25">
      <c r="A33" s="36" t="s">
        <v>187</v>
      </c>
      <c r="B33" s="41" t="s">
        <v>173</v>
      </c>
      <c r="C33" s="36" t="str">
        <f>CONCATENATE("Deploy the configuration files into the projects of ",H2)</f>
        <v>Deploy the configuration files into the projects of To here</v>
      </c>
      <c r="D33" s="45"/>
      <c r="E33" s="45"/>
      <c r="F33" s="88"/>
      <c r="G33" s="88"/>
      <c r="H33" s="88"/>
      <c r="I33" s="88"/>
    </row>
    <row r="34" spans="1:9" x14ac:dyDescent="0.25">
      <c r="A34" s="36" t="s">
        <v>187</v>
      </c>
      <c r="B34" s="41" t="s">
        <v>174</v>
      </c>
      <c r="C34" s="36" t="str">
        <f>CONCATENATE("Execute the 'P/D' orders of the TOS '",C9,"' on the master BES")</f>
        <v>Execute the 'P/D' orders of the TOS 'PACK-XXX-XXXX' on the master BES</v>
      </c>
      <c r="D34" s="45"/>
      <c r="E34" s="45"/>
      <c r="F34" s="88"/>
      <c r="G34" s="88"/>
      <c r="H34" s="88"/>
      <c r="I34" s="88"/>
    </row>
    <row r="35" spans="1:9" x14ac:dyDescent="0.25">
      <c r="A35" s="36" t="s">
        <v>187</v>
      </c>
      <c r="B35" s="41" t="s">
        <v>174</v>
      </c>
      <c r="C35" s="36" t="str">
        <f>CONCATENATE("Execute the 'H' orders of the TOS '",C9,"' on the master BES")</f>
        <v>Execute the 'H' orders of the TOS 'PACK-XXX-XXXX' on the master BES</v>
      </c>
      <c r="D35" s="45"/>
      <c r="E35" s="45"/>
      <c r="F35" s="88"/>
      <c r="G35" s="88"/>
      <c r="H35" s="88"/>
      <c r="I35" s="88"/>
    </row>
    <row r="36" spans="1:9" x14ac:dyDescent="0.25">
      <c r="A36" s="36" t="s">
        <v>187</v>
      </c>
      <c r="B36" s="41" t="s">
        <v>174</v>
      </c>
      <c r="C36" s="36" t="str">
        <f>CONCATENATE("Execute the 'U/B' orders of the TOS '",C9,"' on the master BES")</f>
        <v>Execute the 'U/B' orders of the TOS 'PACK-XXX-XXXX' on the master BES</v>
      </c>
      <c r="D36" s="45"/>
      <c r="E36" s="45"/>
      <c r="F36" s="88"/>
      <c r="G36" s="88"/>
      <c r="H36" s="88"/>
      <c r="I36" s="88"/>
    </row>
    <row r="37" spans="1:9" x14ac:dyDescent="0.25">
      <c r="A37" s="36" t="s">
        <v>187</v>
      </c>
      <c r="B37" s="41" t="s">
        <v>174</v>
      </c>
      <c r="C37" s="36" t="str">
        <f>CONCATENATE("Execute the 'T/O' orders of the TOS '",C9,"' on the master BES")</f>
        <v>Execute the 'T/O' orders of the TOS 'PACK-XXX-XXXX' on the master BES</v>
      </c>
      <c r="D37" s="45"/>
      <c r="E37" s="45"/>
      <c r="F37" s="88"/>
      <c r="G37" s="88"/>
      <c r="H37" s="88"/>
      <c r="I37" s="88"/>
    </row>
    <row r="38" spans="1:9" x14ac:dyDescent="0.25">
      <c r="A38" s="36" t="s">
        <v>187</v>
      </c>
      <c r="B38" s="41" t="s">
        <v>174</v>
      </c>
      <c r="C38" s="36" t="str">
        <f>CONCATENATE("Execute the 'A' orders of the TOS '",C9,"' on the master BES")</f>
        <v>Execute the 'A' orders of the TOS 'PACK-XXX-XXXX' on the master BES</v>
      </c>
      <c r="D38" s="45"/>
      <c r="E38" s="45"/>
      <c r="F38" s="88"/>
      <c r="G38" s="88"/>
      <c r="H38" s="88"/>
      <c r="I38" s="88"/>
    </row>
    <row r="39" spans="1:9" x14ac:dyDescent="0.25">
      <c r="A39" s="36" t="s">
        <v>187</v>
      </c>
      <c r="B39" s="41" t="s">
        <v>173</v>
      </c>
      <c r="C39" s="36" t="s">
        <v>183</v>
      </c>
      <c r="D39" s="45"/>
      <c r="E39" s="45"/>
      <c r="F39" s="88"/>
      <c r="G39" s="88"/>
      <c r="H39" s="88"/>
      <c r="I39" s="88"/>
    </row>
    <row r="40" spans="1:9" x14ac:dyDescent="0.25">
      <c r="A40" s="36" t="s">
        <v>187</v>
      </c>
      <c r="B40" s="41" t="s">
        <v>175</v>
      </c>
      <c r="C40" s="36" t="str">
        <f>CONCATENATE("Build the V2 environment of ",H2)</f>
        <v>Build the V2 environment of To here</v>
      </c>
      <c r="D40" s="45"/>
      <c r="E40" s="45"/>
      <c r="F40" s="88"/>
      <c r="G40" s="88"/>
      <c r="H40" s="88"/>
      <c r="I40" s="88"/>
    </row>
    <row r="41" spans="1:9" x14ac:dyDescent="0.25">
      <c r="A41" s="36" t="s">
        <v>187</v>
      </c>
      <c r="B41" s="41" t="s">
        <v>174</v>
      </c>
      <c r="C41" s="36" t="str">
        <f>CONCATENATE("Execute the 'C' orders of the TOS '",C9,"' on the master BES")</f>
        <v>Execute the 'C' orders of the TOS 'PACK-XXX-XXXX' on the master BES</v>
      </c>
      <c r="D41" s="45"/>
      <c r="E41" s="45"/>
      <c r="F41" s="88"/>
      <c r="G41" s="88"/>
      <c r="H41" s="88"/>
      <c r="I41" s="88"/>
    </row>
    <row r="42" spans="1:9" x14ac:dyDescent="0.25">
      <c r="A42" s="36" t="s">
        <v>187</v>
      </c>
      <c r="B42" s="41" t="s">
        <v>173</v>
      </c>
      <c r="C42" s="36" t="s">
        <v>184</v>
      </c>
      <c r="D42" s="45"/>
      <c r="E42" s="45"/>
      <c r="F42" s="88"/>
      <c r="G42" s="88"/>
      <c r="H42" s="88"/>
      <c r="I42" s="88"/>
    </row>
    <row r="43" spans="1:9" x14ac:dyDescent="0.25">
      <c r="A43" s="36" t="s">
        <v>187</v>
      </c>
      <c r="B43" s="41" t="s">
        <v>176</v>
      </c>
      <c r="C43" s="36" t="s">
        <v>168</v>
      </c>
      <c r="D43" s="45"/>
      <c r="E43" s="45"/>
      <c r="F43" s="88"/>
      <c r="G43" s="88"/>
      <c r="H43" s="88"/>
      <c r="I43" s="88"/>
    </row>
    <row r="44" spans="1:9" x14ac:dyDescent="0.25">
      <c r="A44" s="36" t="s">
        <v>187</v>
      </c>
      <c r="B44" s="41" t="s">
        <v>176</v>
      </c>
      <c r="C44" s="36" t="s">
        <v>167</v>
      </c>
      <c r="D44" s="45"/>
      <c r="E44" s="45"/>
      <c r="F44" s="88"/>
      <c r="G44" s="88"/>
      <c r="H44" s="88"/>
      <c r="I44" s="88"/>
    </row>
    <row r="45" spans="1:9" x14ac:dyDescent="0.25">
      <c r="G45" s="42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29" priority="573">
      <formula>$D15="[ Bypassed ]"</formula>
    </cfRule>
    <cfRule type="expression" dxfId="328" priority="574">
      <formula>$D15="[ Done         ]"</formula>
    </cfRule>
    <cfRule type="expression" dxfId="327" priority="575">
      <formula>$D15="[ Pending… ]"</formula>
    </cfRule>
    <cfRule type="expression" dxfId="326" priority="576">
      <formula>$D15="[ To do        ]"</formula>
    </cfRule>
  </conditionalFormatting>
  <conditionalFormatting sqref="E19">
    <cfRule type="expression" dxfId="325" priority="501">
      <formula>$D19="[ Bypassed ]"</formula>
    </cfRule>
    <cfRule type="expression" dxfId="324" priority="502">
      <formula>$D19="[ Done         ]"</formula>
    </cfRule>
    <cfRule type="expression" dxfId="323" priority="503">
      <formula>$D19="[ Pending… ]"</formula>
    </cfRule>
    <cfRule type="expression" dxfId="322" priority="504">
      <formula>$D19="[ To do        ]"</formula>
    </cfRule>
  </conditionalFormatting>
  <conditionalFormatting sqref="E20">
    <cfRule type="expression" dxfId="321" priority="497">
      <formula>$D20="[ Bypassed ]"</formula>
    </cfRule>
    <cfRule type="expression" dxfId="320" priority="498">
      <formula>$D20="[ Done         ]"</formula>
    </cfRule>
    <cfRule type="expression" dxfId="319" priority="499">
      <formula>$D20="[ Pending… ]"</formula>
    </cfRule>
    <cfRule type="expression" dxfId="318" priority="500">
      <formula>$D20="[ To do        ]"</formula>
    </cfRule>
  </conditionalFormatting>
  <conditionalFormatting sqref="E39">
    <cfRule type="expression" dxfId="317" priority="473">
      <formula>$D39="[ Bypassed ]"</formula>
    </cfRule>
    <cfRule type="expression" dxfId="316" priority="474">
      <formula>$D39="[ Done         ]"</formula>
    </cfRule>
    <cfRule type="expression" dxfId="315" priority="475">
      <formula>$D39="[ Pending… ]"</formula>
    </cfRule>
    <cfRule type="expression" dxfId="314" priority="476">
      <formula>$D39="[ To do        ]"</formula>
    </cfRule>
  </conditionalFormatting>
  <conditionalFormatting sqref="E40">
    <cfRule type="expression" dxfId="313" priority="449">
      <formula>$D40="[ Bypassed ]"</formula>
    </cfRule>
    <cfRule type="expression" dxfId="312" priority="450">
      <formula>$D40="[ Done         ]"</formula>
    </cfRule>
    <cfRule type="expression" dxfId="311" priority="451">
      <formula>$D40="[ Pending… ]"</formula>
    </cfRule>
    <cfRule type="expression" dxfId="310" priority="452">
      <formula>$D40="[ To do        ]"</formula>
    </cfRule>
  </conditionalFormatting>
  <conditionalFormatting sqref="D15:D17 D20:D21 D23:E26 D23:D29 D34:E35 D34:D44">
    <cfRule type="expression" dxfId="309" priority="333">
      <formula>$D15="[ Bypassed ]"</formula>
    </cfRule>
    <cfRule type="expression" dxfId="308" priority="334">
      <formula>$D15="[ Done         ]"</formula>
    </cfRule>
    <cfRule type="expression" dxfId="307" priority="335">
      <formula>$D15="[ Pending… ]"</formula>
    </cfRule>
    <cfRule type="expression" dxfId="306" priority="336">
      <formula>$D15="[ To do        ]"</formula>
    </cfRule>
  </conditionalFormatting>
  <conditionalFormatting sqref="D40">
    <cfRule type="expression" dxfId="305" priority="321">
      <formula>$D40="[ Bypassed ]"</formula>
    </cfRule>
    <cfRule type="expression" dxfId="304" priority="322">
      <formula>$D40="[ Done         ]"</formula>
    </cfRule>
    <cfRule type="expression" dxfId="303" priority="323">
      <formula>$D40="[ Pending… ]"</formula>
    </cfRule>
    <cfRule type="expression" dxfId="302" priority="324">
      <formula>$D40="[ To do        ]"</formula>
    </cfRule>
  </conditionalFormatting>
  <conditionalFormatting sqref="D19">
    <cfRule type="expression" dxfId="301" priority="197">
      <formula>$D19="[ Bypassed ]"</formula>
    </cfRule>
    <cfRule type="expression" dxfId="300" priority="198">
      <formula>$D19="[ Done         ]"</formula>
    </cfRule>
    <cfRule type="expression" dxfId="299" priority="199">
      <formula>$D19="[ Pending… ]"</formula>
    </cfRule>
    <cfRule type="expression" dxfId="298" priority="200">
      <formula>$D19="[ To do        ]"</formula>
    </cfRule>
  </conditionalFormatting>
  <conditionalFormatting sqref="E19">
    <cfRule type="expression" dxfId="297" priority="193">
      <formula>$D19="[ Bypassed ]"</formula>
    </cfRule>
    <cfRule type="expression" dxfId="296" priority="194">
      <formula>$D19="[ Done         ]"</formula>
    </cfRule>
    <cfRule type="expression" dxfId="295" priority="195">
      <formula>$D19="[ Pending… ]"</formula>
    </cfRule>
    <cfRule type="expression" dxfId="294" priority="196">
      <formula>$D19="[ To do        ]"</formula>
    </cfRule>
  </conditionalFormatting>
  <conditionalFormatting sqref="D18:E18">
    <cfRule type="expression" dxfId="293" priority="181">
      <formula>$D18="[ Bypassed ]"</formula>
    </cfRule>
    <cfRule type="expression" dxfId="292" priority="182">
      <formula>$D18="[ Done         ]"</formula>
    </cfRule>
    <cfRule type="expression" dxfId="291" priority="183">
      <formula>$D18="[ Pending… ]"</formula>
    </cfRule>
    <cfRule type="expression" dxfId="290" priority="184">
      <formula>$D18="[ To do        ]"</formula>
    </cfRule>
  </conditionalFormatting>
  <conditionalFormatting sqref="E21">
    <cfRule type="expression" dxfId="289" priority="169">
      <formula>$D21="[ Bypassed ]"</formula>
    </cfRule>
    <cfRule type="expression" dxfId="288" priority="170">
      <formula>$D21="[ Done         ]"</formula>
    </cfRule>
    <cfRule type="expression" dxfId="287" priority="171">
      <formula>$D21="[ Pending… ]"</formula>
    </cfRule>
    <cfRule type="expression" dxfId="286" priority="172">
      <formula>$D21="[ To do        ]"</formula>
    </cfRule>
  </conditionalFormatting>
  <conditionalFormatting sqref="D22">
    <cfRule type="expression" dxfId="285" priority="157">
      <formula>$D22="[ Bypassed ]"</formula>
    </cfRule>
    <cfRule type="expression" dxfId="284" priority="158">
      <formula>$D22="[ Done         ]"</formula>
    </cfRule>
    <cfRule type="expression" dxfId="283" priority="159">
      <formula>$D22="[ Pending… ]"</formula>
    </cfRule>
    <cfRule type="expression" dxfId="282" priority="160">
      <formula>$D22="[ To do        ]"</formula>
    </cfRule>
  </conditionalFormatting>
  <conditionalFormatting sqref="E22">
    <cfRule type="expression" dxfId="281" priority="145">
      <formula>$D22="[ Bypassed ]"</formula>
    </cfRule>
    <cfRule type="expression" dxfId="280" priority="146">
      <formula>$D22="[ Done         ]"</formula>
    </cfRule>
    <cfRule type="expression" dxfId="279" priority="147">
      <formula>$D22="[ Pending… ]"</formula>
    </cfRule>
    <cfRule type="expression" dxfId="278" priority="148">
      <formula>$D22="[ To do        ]"</formula>
    </cfRule>
  </conditionalFormatting>
  <conditionalFormatting sqref="E27:E28">
    <cfRule type="expression" dxfId="277" priority="133">
      <formula>$D27="[ Bypassed ]"</formula>
    </cfRule>
    <cfRule type="expression" dxfId="276" priority="134">
      <formula>$D27="[ Done         ]"</formula>
    </cfRule>
    <cfRule type="expression" dxfId="275" priority="135">
      <formula>$D27="[ Pending… ]"</formula>
    </cfRule>
    <cfRule type="expression" dxfId="274" priority="136">
      <formula>$D27="[ To do        ]"</formula>
    </cfRule>
  </conditionalFormatting>
  <conditionalFormatting sqref="D31">
    <cfRule type="expression" dxfId="273" priority="121">
      <formula>$D31="[ Bypassed ]"</formula>
    </cfRule>
    <cfRule type="expression" dxfId="272" priority="122">
      <formula>$D31="[ Done         ]"</formula>
    </cfRule>
    <cfRule type="expression" dxfId="271" priority="123">
      <formula>$D31="[ Pending… ]"</formula>
    </cfRule>
    <cfRule type="expression" dxfId="270" priority="124">
      <formula>$D31="[ To do        ]"</formula>
    </cfRule>
  </conditionalFormatting>
  <conditionalFormatting sqref="E31">
    <cfRule type="expression" dxfId="269" priority="109">
      <formula>$D31="[ Bypassed ]"</formula>
    </cfRule>
    <cfRule type="expression" dxfId="268" priority="110">
      <formula>$D31="[ Done         ]"</formula>
    </cfRule>
    <cfRule type="expression" dxfId="267" priority="111">
      <formula>$D31="[ Pending… ]"</formula>
    </cfRule>
    <cfRule type="expression" dxfId="266" priority="112">
      <formula>$D31="[ To do        ]"</formula>
    </cfRule>
  </conditionalFormatting>
  <conditionalFormatting sqref="D32">
    <cfRule type="expression" dxfId="265" priority="97">
      <formula>$D32="[ Bypassed ]"</formula>
    </cfRule>
    <cfRule type="expression" dxfId="264" priority="98">
      <formula>$D32="[ Done         ]"</formula>
    </cfRule>
    <cfRule type="expression" dxfId="263" priority="99">
      <formula>$D32="[ Pending… ]"</formula>
    </cfRule>
    <cfRule type="expression" dxfId="262" priority="100">
      <formula>$D32="[ To do        ]"</formula>
    </cfRule>
  </conditionalFormatting>
  <conditionalFormatting sqref="E32">
    <cfRule type="expression" dxfId="261" priority="85">
      <formula>$D32="[ Bypassed ]"</formula>
    </cfRule>
    <cfRule type="expression" dxfId="260" priority="86">
      <formula>$D32="[ Done         ]"</formula>
    </cfRule>
    <cfRule type="expression" dxfId="259" priority="87">
      <formula>$D32="[ Pending… ]"</formula>
    </cfRule>
    <cfRule type="expression" dxfId="258" priority="88">
      <formula>$D32="[ To do        ]"</formula>
    </cfRule>
  </conditionalFormatting>
  <conditionalFormatting sqref="D33">
    <cfRule type="expression" dxfId="257" priority="73">
      <formula>$D33="[ Bypassed ]"</formula>
    </cfRule>
    <cfRule type="expression" dxfId="256" priority="74">
      <formula>$D33="[ Done         ]"</formula>
    </cfRule>
    <cfRule type="expression" dxfId="255" priority="75">
      <formula>$D33="[ Pending… ]"</formula>
    </cfRule>
    <cfRule type="expression" dxfId="254" priority="76">
      <formula>$D33="[ To do        ]"</formula>
    </cfRule>
  </conditionalFormatting>
  <conditionalFormatting sqref="E33">
    <cfRule type="expression" dxfId="253" priority="61">
      <formula>$D33="[ Bypassed ]"</formula>
    </cfRule>
    <cfRule type="expression" dxfId="252" priority="62">
      <formula>$D33="[ Done         ]"</formula>
    </cfRule>
    <cfRule type="expression" dxfId="251" priority="63">
      <formula>$D33="[ Pending… ]"</formula>
    </cfRule>
    <cfRule type="expression" dxfId="250" priority="64">
      <formula>$D33="[ To do        ]"</formula>
    </cfRule>
  </conditionalFormatting>
  <conditionalFormatting sqref="D41:E42">
    <cfRule type="expression" dxfId="249" priority="45">
      <formula>$D41="[ Bypassed ]"</formula>
    </cfRule>
    <cfRule type="expression" dxfId="248" priority="46">
      <formula>$D41="[ Done         ]"</formula>
    </cfRule>
    <cfRule type="expression" dxfId="247" priority="47">
      <formula>$D41="[ Pending… ]"</formula>
    </cfRule>
    <cfRule type="expression" dxfId="246" priority="48">
      <formula>$D41="[ To do        ]"</formula>
    </cfRule>
  </conditionalFormatting>
  <conditionalFormatting sqref="D43:D44">
    <cfRule type="expression" dxfId="245" priority="37">
      <formula>$D43="[ Bypassed ]"</formula>
    </cfRule>
    <cfRule type="expression" dxfId="244" priority="38">
      <formula>$D43="[ Done         ]"</formula>
    </cfRule>
    <cfRule type="expression" dxfId="243" priority="39">
      <formula>$D43="[ Pending… ]"</formula>
    </cfRule>
    <cfRule type="expression" dxfId="242" priority="40">
      <formula>$D43="[ To do        ]"</formula>
    </cfRule>
  </conditionalFormatting>
  <conditionalFormatting sqref="E43">
    <cfRule type="expression" dxfId="241" priority="29">
      <formula>$D43="[ Bypassed ]"</formula>
    </cfRule>
    <cfRule type="expression" dxfId="240" priority="30">
      <formula>$D43="[ Done         ]"</formula>
    </cfRule>
    <cfRule type="expression" dxfId="239" priority="31">
      <formula>$D43="[ Pending… ]"</formula>
    </cfRule>
    <cfRule type="expression" dxfId="238" priority="32">
      <formula>$D43="[ To do        ]"</formula>
    </cfRule>
  </conditionalFormatting>
  <conditionalFormatting sqref="E44">
    <cfRule type="expression" dxfId="237" priority="21">
      <formula>$D44="[ Bypassed ]"</formula>
    </cfRule>
    <cfRule type="expression" dxfId="236" priority="22">
      <formula>$D44="[ Done         ]"</formula>
    </cfRule>
    <cfRule type="expression" dxfId="235" priority="23">
      <formula>$D44="[ Pending… ]"</formula>
    </cfRule>
    <cfRule type="expression" dxfId="234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8"/>
  <sheetViews>
    <sheetView topLeftCell="B13" workbookViewId="0">
      <selection activeCell="P17" sqref="P17"/>
    </sheetView>
  </sheetViews>
  <sheetFormatPr defaultRowHeight="15" x14ac:dyDescent="0.25"/>
  <cols>
    <col min="1" max="1" customWidth="true" width="13.28515625" collapsed="true"/>
    <col min="2" max="2" customWidth="true" width="15.42578125" collapsed="true"/>
    <col min="4" max="4" bestFit="true" customWidth="true" width="15.28515625" collapsed="true"/>
    <col min="7" max="7" bestFit="true" customWidth="true" width="10.7109375" collapsed="true"/>
    <col min="10" max="10" bestFit="true" customWidth="true" width="15.0" collapsed="true"/>
    <col min="15" max="15" bestFit="true" customWidth="true" width="10.7109375" collapsed="true"/>
    <col min="16" max="16" bestFit="true" customWidth="true" width="42.5703125" collapsed="true"/>
  </cols>
  <sheetData>
    <row r="1" spans="1:10" ht="15.75" thickBot="1" x14ac:dyDescent="0.3">
      <c r="A1" t="s">
        <v>325</v>
      </c>
      <c r="G1" t="s">
        <v>335</v>
      </c>
    </row>
    <row r="2" spans="1:10" ht="15.75" thickBot="1" x14ac:dyDescent="0.3">
      <c r="A2" s="89" t="s">
        <v>302</v>
      </c>
      <c r="B2" s="90"/>
      <c r="C2" s="90"/>
      <c r="D2" s="91"/>
      <c r="G2" s="92" t="s">
        <v>326</v>
      </c>
      <c r="H2" s="93"/>
      <c r="I2" s="93"/>
      <c r="J2" s="93"/>
    </row>
    <row r="3" spans="1:10" ht="15.75" thickBot="1" x14ac:dyDescent="0.3">
      <c r="A3" s="61" t="s">
        <v>303</v>
      </c>
      <c r="B3" s="61" t="s">
        <v>57</v>
      </c>
      <c r="C3" s="61" t="s">
        <v>304</v>
      </c>
      <c r="D3" s="61" t="s">
        <v>305</v>
      </c>
      <c r="G3" s="67" t="s">
        <v>303</v>
      </c>
      <c r="H3" s="68" t="s">
        <v>57</v>
      </c>
      <c r="I3" s="68" t="s">
        <v>327</v>
      </c>
      <c r="J3" s="68" t="s">
        <v>328</v>
      </c>
    </row>
    <row r="4" spans="1:10" ht="15.75" thickBot="1" x14ac:dyDescent="0.3">
      <c r="A4" s="62">
        <v>42433</v>
      </c>
      <c r="B4" s="63" t="s">
        <v>306</v>
      </c>
      <c r="C4" s="63" t="s">
        <v>307</v>
      </c>
      <c r="D4" s="64" t="s">
        <v>308</v>
      </c>
      <c r="G4" s="69">
        <v>42290</v>
      </c>
      <c r="H4" s="70" t="s">
        <v>306</v>
      </c>
      <c r="I4" s="70" t="s">
        <v>307</v>
      </c>
      <c r="J4" s="71" t="s">
        <v>308</v>
      </c>
    </row>
    <row r="5" spans="1:10" ht="15.75" thickBot="1" x14ac:dyDescent="0.3">
      <c r="A5" s="62">
        <v>42433</v>
      </c>
      <c r="B5" s="63" t="s">
        <v>309</v>
      </c>
      <c r="C5" s="63" t="s">
        <v>310</v>
      </c>
      <c r="D5" s="64" t="s">
        <v>308</v>
      </c>
      <c r="G5" s="69">
        <v>42290</v>
      </c>
      <c r="H5" s="70" t="s">
        <v>329</v>
      </c>
      <c r="I5" s="70" t="s">
        <v>310</v>
      </c>
      <c r="J5" s="72" t="s">
        <v>330</v>
      </c>
    </row>
    <row r="6" spans="1:10" ht="15.75" thickBot="1" x14ac:dyDescent="0.3">
      <c r="A6" s="62">
        <v>42433</v>
      </c>
      <c r="B6" s="63" t="s">
        <v>311</v>
      </c>
      <c r="C6" s="63" t="s">
        <v>310</v>
      </c>
      <c r="D6" s="64" t="s">
        <v>308</v>
      </c>
      <c r="G6" s="69">
        <v>42290</v>
      </c>
      <c r="H6" s="70" t="s">
        <v>311</v>
      </c>
      <c r="I6" s="70" t="s">
        <v>310</v>
      </c>
      <c r="J6" s="72" t="s">
        <v>330</v>
      </c>
    </row>
    <row r="7" spans="1:10" ht="15.75" thickBot="1" x14ac:dyDescent="0.3">
      <c r="A7" s="62">
        <v>42433</v>
      </c>
      <c r="B7" s="63" t="s">
        <v>312</v>
      </c>
      <c r="C7" s="63" t="s">
        <v>310</v>
      </c>
      <c r="D7" s="64" t="s">
        <v>308</v>
      </c>
      <c r="G7" s="69">
        <v>42290</v>
      </c>
      <c r="H7" s="70" t="s">
        <v>312</v>
      </c>
      <c r="I7" s="70" t="s">
        <v>310</v>
      </c>
      <c r="J7" s="72" t="s">
        <v>330</v>
      </c>
    </row>
    <row r="8" spans="1:10" ht="15.75" thickBot="1" x14ac:dyDescent="0.3">
      <c r="A8" s="62">
        <v>42433</v>
      </c>
      <c r="B8" s="63" t="s">
        <v>313</v>
      </c>
      <c r="C8" s="63" t="s">
        <v>310</v>
      </c>
      <c r="D8" s="64" t="s">
        <v>308</v>
      </c>
      <c r="G8" s="69">
        <v>42290</v>
      </c>
      <c r="H8" s="70" t="s">
        <v>331</v>
      </c>
      <c r="I8" s="70" t="s">
        <v>310</v>
      </c>
      <c r="J8" s="72" t="s">
        <v>330</v>
      </c>
    </row>
    <row r="9" spans="1:10" ht="15.75" thickBot="1" x14ac:dyDescent="0.3">
      <c r="A9" s="62">
        <v>42433</v>
      </c>
      <c r="B9" s="63" t="s">
        <v>314</v>
      </c>
      <c r="C9" s="63" t="s">
        <v>310</v>
      </c>
      <c r="D9" s="64" t="s">
        <v>308</v>
      </c>
      <c r="G9" s="69">
        <v>42291</v>
      </c>
      <c r="H9" s="70" t="s">
        <v>318</v>
      </c>
      <c r="I9" s="70" t="s">
        <v>310</v>
      </c>
      <c r="J9" s="72" t="s">
        <v>330</v>
      </c>
    </row>
    <row r="10" spans="1:10" ht="15.75" thickBot="1" x14ac:dyDescent="0.3">
      <c r="A10" s="62">
        <v>42433</v>
      </c>
      <c r="B10" s="63" t="s">
        <v>315</v>
      </c>
      <c r="C10" s="63" t="s">
        <v>310</v>
      </c>
      <c r="D10" s="64" t="s">
        <v>308</v>
      </c>
      <c r="G10" s="69">
        <v>42291</v>
      </c>
      <c r="H10" s="70" t="s">
        <v>320</v>
      </c>
      <c r="I10" s="70" t="s">
        <v>310</v>
      </c>
      <c r="J10" s="72" t="s">
        <v>330</v>
      </c>
    </row>
    <row r="11" spans="1:10" ht="15.75" thickBot="1" x14ac:dyDescent="0.3">
      <c r="A11" s="65">
        <v>42436</v>
      </c>
      <c r="B11" s="66" t="s">
        <v>316</v>
      </c>
      <c r="C11" s="66" t="s">
        <v>310</v>
      </c>
      <c r="D11" s="64" t="s">
        <v>308</v>
      </c>
      <c r="G11" s="69">
        <v>42291</v>
      </c>
      <c r="H11" s="70" t="s">
        <v>321</v>
      </c>
      <c r="I11" s="70" t="s">
        <v>310</v>
      </c>
      <c r="J11" s="72" t="s">
        <v>330</v>
      </c>
    </row>
    <row r="12" spans="1:10" ht="15.75" thickBot="1" x14ac:dyDescent="0.3">
      <c r="A12" s="65">
        <v>42436</v>
      </c>
      <c r="B12" s="66" t="s">
        <v>317</v>
      </c>
      <c r="C12" s="66" t="s">
        <v>310</v>
      </c>
      <c r="D12" s="64" t="s">
        <v>308</v>
      </c>
      <c r="G12" s="69">
        <v>42291</v>
      </c>
      <c r="H12" s="70" t="s">
        <v>322</v>
      </c>
      <c r="I12" s="70" t="s">
        <v>310</v>
      </c>
      <c r="J12" s="72" t="s">
        <v>330</v>
      </c>
    </row>
    <row r="13" spans="1:10" ht="15.75" thickBot="1" x14ac:dyDescent="0.3">
      <c r="A13" s="65">
        <v>42436</v>
      </c>
      <c r="B13" s="66" t="s">
        <v>318</v>
      </c>
      <c r="C13" s="66" t="s">
        <v>310</v>
      </c>
      <c r="D13" s="64" t="s">
        <v>308</v>
      </c>
      <c r="G13" s="69">
        <v>42291</v>
      </c>
      <c r="H13" s="70" t="s">
        <v>332</v>
      </c>
      <c r="I13" s="70" t="s">
        <v>310</v>
      </c>
      <c r="J13" s="72" t="s">
        <v>330</v>
      </c>
    </row>
    <row r="14" spans="1:10" ht="15.75" thickBot="1" x14ac:dyDescent="0.3">
      <c r="A14" s="65">
        <v>42436</v>
      </c>
      <c r="B14" s="66" t="s">
        <v>319</v>
      </c>
      <c r="C14" s="66" t="s">
        <v>310</v>
      </c>
      <c r="D14" s="64" t="s">
        <v>308</v>
      </c>
      <c r="G14" s="69">
        <v>42291</v>
      </c>
      <c r="H14" s="70" t="s">
        <v>333</v>
      </c>
      <c r="I14" s="70" t="s">
        <v>334</v>
      </c>
      <c r="J14" s="72" t="s">
        <v>330</v>
      </c>
    </row>
    <row r="15" spans="1:10" ht="15.75" thickBot="1" x14ac:dyDescent="0.3">
      <c r="A15" s="65">
        <v>42436</v>
      </c>
      <c r="B15" s="66" t="s">
        <v>320</v>
      </c>
      <c r="C15" s="66" t="s">
        <v>310</v>
      </c>
      <c r="D15" s="64" t="s">
        <v>308</v>
      </c>
      <c r="G15" s="69">
        <v>42291</v>
      </c>
      <c r="H15" s="70" t="s">
        <v>324</v>
      </c>
      <c r="I15" s="70" t="s">
        <v>310</v>
      </c>
      <c r="J15" s="72" t="s">
        <v>330</v>
      </c>
    </row>
    <row r="16" spans="1:10" x14ac:dyDescent="0.25">
      <c r="A16" s="65">
        <v>42436</v>
      </c>
      <c r="B16" s="66" t="s">
        <v>321</v>
      </c>
      <c r="C16" s="66" t="s">
        <v>310</v>
      </c>
      <c r="D16" s="64" t="s">
        <v>308</v>
      </c>
    </row>
    <row r="17" spans="1:18" x14ac:dyDescent="0.25">
      <c r="A17" s="65">
        <v>42436</v>
      </c>
      <c r="B17" s="66" t="s">
        <v>322</v>
      </c>
      <c r="C17" s="66" t="s">
        <v>310</v>
      </c>
      <c r="D17" s="64" t="s">
        <v>308</v>
      </c>
    </row>
    <row r="18" spans="1:18" x14ac:dyDescent="0.25">
      <c r="A18" s="65">
        <v>42436</v>
      </c>
      <c r="B18" s="66" t="s">
        <v>323</v>
      </c>
      <c r="C18" s="66" t="s">
        <v>310</v>
      </c>
      <c r="D18" s="64" t="s">
        <v>308</v>
      </c>
    </row>
    <row r="19" spans="1:18" ht="15.75" thickBot="1" x14ac:dyDescent="0.3">
      <c r="A19" s="65">
        <v>42436</v>
      </c>
      <c r="B19" s="66" t="s">
        <v>324</v>
      </c>
      <c r="C19" s="66" t="s">
        <v>310</v>
      </c>
      <c r="D19" s="64" t="s">
        <v>308</v>
      </c>
    </row>
    <row r="20" spans="1:18" ht="15.75" thickBot="1" x14ac:dyDescent="0.3">
      <c r="G20" s="94" t="s">
        <v>336</v>
      </c>
      <c r="H20" s="95"/>
      <c r="I20" s="95"/>
      <c r="J20" s="95"/>
      <c r="K20" s="95"/>
      <c r="L20" s="96"/>
      <c r="O20" s="61" t="s">
        <v>303</v>
      </c>
      <c r="P20" s="61" t="s">
        <v>347</v>
      </c>
      <c r="Q20" s="61" t="s">
        <v>327</v>
      </c>
      <c r="R20" s="61" t="s">
        <v>348</v>
      </c>
    </row>
    <row r="21" spans="1:18" ht="15.75" thickBot="1" x14ac:dyDescent="0.3">
      <c r="A21" t="s">
        <v>346</v>
      </c>
      <c r="G21" s="67" t="s">
        <v>303</v>
      </c>
      <c r="H21" s="68" t="s">
        <v>57</v>
      </c>
      <c r="I21" s="68" t="s">
        <v>327</v>
      </c>
      <c r="J21" s="68" t="s">
        <v>337</v>
      </c>
      <c r="K21" s="68" t="s">
        <v>338</v>
      </c>
      <c r="L21" s="68" t="s">
        <v>339</v>
      </c>
      <c r="O21" s="62">
        <v>42445</v>
      </c>
      <c r="P21" s="63" t="s">
        <v>306</v>
      </c>
      <c r="Q21" s="63" t="s">
        <v>307</v>
      </c>
      <c r="R21" s="64" t="s">
        <v>308</v>
      </c>
    </row>
    <row r="22" spans="1:18" ht="15.75" thickBot="1" x14ac:dyDescent="0.3">
      <c r="A22" s="94" t="s">
        <v>340</v>
      </c>
      <c r="B22" s="95"/>
      <c r="C22" s="95"/>
      <c r="D22" s="95"/>
      <c r="G22" s="73">
        <v>42187</v>
      </c>
      <c r="H22" s="74" t="s">
        <v>306</v>
      </c>
      <c r="I22" s="74" t="s">
        <v>307</v>
      </c>
      <c r="J22" s="71" t="s">
        <v>308</v>
      </c>
      <c r="K22" s="71" t="s">
        <v>308</v>
      </c>
      <c r="L22" s="71" t="s">
        <v>308</v>
      </c>
      <c r="O22" s="62">
        <v>42445</v>
      </c>
      <c r="P22" s="63" t="s">
        <v>349</v>
      </c>
      <c r="Q22" s="63" t="s">
        <v>310</v>
      </c>
      <c r="R22" s="72" t="s">
        <v>330</v>
      </c>
    </row>
    <row r="23" spans="1:18" ht="15.75" thickBot="1" x14ac:dyDescent="0.3">
      <c r="A23" s="67" t="s">
        <v>303</v>
      </c>
      <c r="B23" s="68" t="s">
        <v>57</v>
      </c>
      <c r="C23" s="68" t="s">
        <v>327</v>
      </c>
      <c r="D23" s="68" t="s">
        <v>341</v>
      </c>
      <c r="G23" s="73">
        <v>42146</v>
      </c>
      <c r="H23" s="74" t="s">
        <v>329</v>
      </c>
      <c r="I23" s="74" t="s">
        <v>310</v>
      </c>
      <c r="J23" s="72" t="s">
        <v>330</v>
      </c>
      <c r="K23" s="72" t="s">
        <v>330</v>
      </c>
      <c r="L23" s="72" t="s">
        <v>330</v>
      </c>
      <c r="O23" s="62">
        <v>42445</v>
      </c>
      <c r="P23" s="63" t="s">
        <v>313</v>
      </c>
      <c r="Q23" s="63" t="s">
        <v>310</v>
      </c>
      <c r="R23" s="72" t="s">
        <v>330</v>
      </c>
    </row>
    <row r="24" spans="1:18" ht="15.75" thickBot="1" x14ac:dyDescent="0.3">
      <c r="A24" s="73">
        <v>42423</v>
      </c>
      <c r="B24" s="74" t="s">
        <v>306</v>
      </c>
      <c r="C24" s="74" t="s">
        <v>307</v>
      </c>
      <c r="D24" s="71" t="s">
        <v>308</v>
      </c>
      <c r="G24" s="73">
        <v>42146</v>
      </c>
      <c r="H24" s="74" t="s">
        <v>311</v>
      </c>
      <c r="I24" s="74" t="s">
        <v>310</v>
      </c>
      <c r="J24" s="72" t="s">
        <v>330</v>
      </c>
      <c r="K24" s="72" t="s">
        <v>330</v>
      </c>
      <c r="L24" s="72" t="s">
        <v>330</v>
      </c>
      <c r="O24" s="62">
        <v>42445</v>
      </c>
      <c r="P24" s="63" t="s">
        <v>350</v>
      </c>
      <c r="Q24" s="63" t="s">
        <v>310</v>
      </c>
      <c r="R24" s="72" t="s">
        <v>330</v>
      </c>
    </row>
    <row r="25" spans="1:18" ht="15.75" thickBot="1" x14ac:dyDescent="0.3">
      <c r="A25" s="73">
        <v>42423</v>
      </c>
      <c r="B25" s="74" t="s">
        <v>329</v>
      </c>
      <c r="C25" s="74" t="s">
        <v>310</v>
      </c>
      <c r="D25" s="71" t="s">
        <v>308</v>
      </c>
      <c r="G25" s="73">
        <v>42146</v>
      </c>
      <c r="H25" s="74" t="s">
        <v>312</v>
      </c>
      <c r="I25" s="74" t="s">
        <v>310</v>
      </c>
      <c r="J25" s="72" t="s">
        <v>330</v>
      </c>
      <c r="K25" s="72" t="s">
        <v>330</v>
      </c>
      <c r="L25" s="72" t="s">
        <v>330</v>
      </c>
      <c r="O25" s="62">
        <v>42445</v>
      </c>
      <c r="P25" s="63" t="s">
        <v>314</v>
      </c>
      <c r="Q25" s="63" t="s">
        <v>310</v>
      </c>
      <c r="R25" s="72" t="s">
        <v>330</v>
      </c>
    </row>
    <row r="26" spans="1:18" ht="15.75" thickBot="1" x14ac:dyDescent="0.3">
      <c r="A26" s="73">
        <v>42423</v>
      </c>
      <c r="B26" s="74" t="s">
        <v>311</v>
      </c>
      <c r="C26" s="74" t="s">
        <v>310</v>
      </c>
      <c r="D26" s="71" t="s">
        <v>308</v>
      </c>
      <c r="G26" s="73">
        <v>42146</v>
      </c>
      <c r="H26" s="74" t="s">
        <v>331</v>
      </c>
      <c r="I26" s="74" t="s">
        <v>310</v>
      </c>
      <c r="J26" s="72" t="s">
        <v>330</v>
      </c>
      <c r="K26" s="72" t="s">
        <v>330</v>
      </c>
      <c r="L26" s="72" t="s">
        <v>330</v>
      </c>
      <c r="O26" s="62">
        <v>42445</v>
      </c>
      <c r="P26" s="63" t="s">
        <v>315</v>
      </c>
      <c r="Q26" s="63" t="s">
        <v>310</v>
      </c>
      <c r="R26" s="72" t="s">
        <v>330</v>
      </c>
    </row>
    <row r="27" spans="1:18" ht="15.75" thickBot="1" x14ac:dyDescent="0.3">
      <c r="A27" s="73">
        <v>42423</v>
      </c>
      <c r="B27" s="74" t="s">
        <v>312</v>
      </c>
      <c r="C27" s="74" t="s">
        <v>310</v>
      </c>
      <c r="D27" s="71" t="s">
        <v>308</v>
      </c>
      <c r="G27" s="73">
        <v>42146</v>
      </c>
      <c r="H27" s="74" t="s">
        <v>318</v>
      </c>
      <c r="I27" s="74" t="s">
        <v>310</v>
      </c>
      <c r="J27" s="72" t="s">
        <v>330</v>
      </c>
      <c r="K27" s="72" t="s">
        <v>330</v>
      </c>
      <c r="L27" s="72" t="s">
        <v>330</v>
      </c>
      <c r="O27" s="62">
        <v>42445</v>
      </c>
      <c r="P27" s="63" t="s">
        <v>316</v>
      </c>
      <c r="Q27" s="63" t="s">
        <v>310</v>
      </c>
      <c r="R27" s="72" t="s">
        <v>330</v>
      </c>
    </row>
    <row r="28" spans="1:18" ht="15.75" thickBot="1" x14ac:dyDescent="0.3">
      <c r="A28" s="73">
        <v>42423</v>
      </c>
      <c r="B28" s="74" t="s">
        <v>331</v>
      </c>
      <c r="C28" s="74" t="s">
        <v>310</v>
      </c>
      <c r="D28" s="71" t="s">
        <v>308</v>
      </c>
      <c r="G28" s="73">
        <v>42146</v>
      </c>
      <c r="H28" s="74" t="s">
        <v>320</v>
      </c>
      <c r="I28" s="74" t="s">
        <v>310</v>
      </c>
      <c r="J28" s="72" t="s">
        <v>330</v>
      </c>
      <c r="K28" s="72" t="s">
        <v>330</v>
      </c>
      <c r="L28" s="72" t="s">
        <v>330</v>
      </c>
      <c r="O28" s="62">
        <v>42445</v>
      </c>
      <c r="P28" s="63" t="s">
        <v>351</v>
      </c>
      <c r="Q28" s="63" t="s">
        <v>310</v>
      </c>
      <c r="R28" s="72" t="s">
        <v>330</v>
      </c>
    </row>
    <row r="29" spans="1:18" ht="15.75" thickBot="1" x14ac:dyDescent="0.3">
      <c r="A29" s="73">
        <v>42423</v>
      </c>
      <c r="B29" s="74" t="s">
        <v>342</v>
      </c>
      <c r="C29" s="74" t="s">
        <v>310</v>
      </c>
      <c r="D29" s="75" t="s">
        <v>308</v>
      </c>
      <c r="G29" s="73">
        <v>42146</v>
      </c>
      <c r="H29" s="74" t="s">
        <v>321</v>
      </c>
      <c r="I29" s="74" t="s">
        <v>310</v>
      </c>
      <c r="J29" s="72" t="s">
        <v>330</v>
      </c>
      <c r="K29" s="72" t="s">
        <v>330</v>
      </c>
      <c r="L29" s="72" t="s">
        <v>330</v>
      </c>
      <c r="O29" s="62">
        <v>42445</v>
      </c>
      <c r="P29" s="63" t="s">
        <v>352</v>
      </c>
      <c r="Q29" s="63" t="s">
        <v>310</v>
      </c>
      <c r="R29" s="72" t="s">
        <v>330</v>
      </c>
    </row>
    <row r="30" spans="1:18" ht="15.75" thickBot="1" x14ac:dyDescent="0.3">
      <c r="A30" s="73">
        <v>42423</v>
      </c>
      <c r="B30" s="74" t="s">
        <v>343</v>
      </c>
      <c r="C30" s="76" t="s">
        <v>310</v>
      </c>
      <c r="D30" s="77" t="s">
        <v>308</v>
      </c>
      <c r="G30" s="73">
        <v>42146</v>
      </c>
      <c r="H30" s="74" t="s">
        <v>322</v>
      </c>
      <c r="I30" s="74" t="s">
        <v>310</v>
      </c>
      <c r="J30" s="72" t="s">
        <v>330</v>
      </c>
      <c r="K30" s="72" t="s">
        <v>330</v>
      </c>
      <c r="L30" s="72" t="s">
        <v>330</v>
      </c>
      <c r="O30" s="62">
        <v>42445</v>
      </c>
      <c r="P30" s="63" t="s">
        <v>353</v>
      </c>
      <c r="Q30" s="63" t="s">
        <v>310</v>
      </c>
      <c r="R30" s="72" t="s">
        <v>330</v>
      </c>
    </row>
    <row r="31" spans="1:18" ht="15.75" thickBot="1" x14ac:dyDescent="0.3">
      <c r="A31" s="73">
        <v>42423</v>
      </c>
      <c r="B31" s="74" t="s">
        <v>318</v>
      </c>
      <c r="C31" s="76" t="s">
        <v>310</v>
      </c>
      <c r="D31" s="78" t="s">
        <v>308</v>
      </c>
      <c r="G31" s="73">
        <v>42146</v>
      </c>
      <c r="H31" s="74" t="s">
        <v>332</v>
      </c>
      <c r="I31" s="74" t="s">
        <v>310</v>
      </c>
      <c r="J31" s="72" t="s">
        <v>330</v>
      </c>
      <c r="K31" s="72" t="s">
        <v>330</v>
      </c>
      <c r="L31" s="72" t="s">
        <v>330</v>
      </c>
      <c r="O31" s="62">
        <v>42445</v>
      </c>
      <c r="P31" s="63" t="s">
        <v>354</v>
      </c>
      <c r="Q31" s="63" t="s">
        <v>310</v>
      </c>
      <c r="R31" s="72" t="s">
        <v>330</v>
      </c>
    </row>
    <row r="32" spans="1:18" ht="15.75" thickBot="1" x14ac:dyDescent="0.3">
      <c r="A32" s="73">
        <v>42423</v>
      </c>
      <c r="B32" s="74" t="s">
        <v>344</v>
      </c>
      <c r="C32" s="76" t="s">
        <v>310</v>
      </c>
      <c r="D32" s="72" t="s">
        <v>330</v>
      </c>
      <c r="G32" s="73">
        <v>42146</v>
      </c>
      <c r="H32" s="74" t="s">
        <v>333</v>
      </c>
      <c r="I32" s="74" t="s">
        <v>334</v>
      </c>
      <c r="J32" s="72" t="s">
        <v>330</v>
      </c>
      <c r="K32" s="72" t="s">
        <v>330</v>
      </c>
      <c r="L32" s="72" t="s">
        <v>330</v>
      </c>
      <c r="O32" s="62">
        <v>42445</v>
      </c>
      <c r="P32" s="63" t="s">
        <v>319</v>
      </c>
      <c r="Q32" s="63" t="s">
        <v>310</v>
      </c>
      <c r="R32" s="72" t="s">
        <v>330</v>
      </c>
    </row>
    <row r="33" spans="1:18" ht="15.75" thickBot="1" x14ac:dyDescent="0.3">
      <c r="A33" s="73">
        <v>42423</v>
      </c>
      <c r="B33" s="74" t="s">
        <v>320</v>
      </c>
      <c r="C33" s="76" t="s">
        <v>310</v>
      </c>
      <c r="D33" s="78" t="s">
        <v>308</v>
      </c>
      <c r="G33" s="73">
        <v>42146</v>
      </c>
      <c r="H33" s="74" t="s">
        <v>324</v>
      </c>
      <c r="I33" s="74" t="s">
        <v>310</v>
      </c>
      <c r="J33" s="72" t="s">
        <v>330</v>
      </c>
      <c r="K33" s="72" t="s">
        <v>330</v>
      </c>
      <c r="L33" s="72" t="s">
        <v>330</v>
      </c>
      <c r="O33" s="62">
        <v>42445</v>
      </c>
      <c r="P33" s="63" t="s">
        <v>320</v>
      </c>
      <c r="Q33" s="63" t="s">
        <v>310</v>
      </c>
      <c r="R33" s="72" t="s">
        <v>330</v>
      </c>
    </row>
    <row r="34" spans="1:18" ht="15.75" thickBot="1" x14ac:dyDescent="0.3">
      <c r="A34" s="73">
        <v>42423</v>
      </c>
      <c r="B34" s="74" t="s">
        <v>321</v>
      </c>
      <c r="C34" s="74" t="s">
        <v>310</v>
      </c>
      <c r="D34" s="78" t="s">
        <v>308</v>
      </c>
      <c r="O34" s="62">
        <v>42445</v>
      </c>
      <c r="P34" s="63" t="s">
        <v>321</v>
      </c>
      <c r="Q34" s="63" t="s">
        <v>310</v>
      </c>
      <c r="R34" s="72" t="s">
        <v>330</v>
      </c>
    </row>
    <row r="35" spans="1:18" ht="15.75" thickBot="1" x14ac:dyDescent="0.3">
      <c r="A35" s="73">
        <v>42423</v>
      </c>
      <c r="B35" s="74" t="s">
        <v>322</v>
      </c>
      <c r="C35" s="74" t="s">
        <v>310</v>
      </c>
      <c r="D35" s="78" t="s">
        <v>308</v>
      </c>
      <c r="O35" s="62">
        <v>42445</v>
      </c>
      <c r="P35" s="63" t="s">
        <v>322</v>
      </c>
      <c r="Q35" s="63" t="s">
        <v>310</v>
      </c>
      <c r="R35" s="72" t="s">
        <v>330</v>
      </c>
    </row>
    <row r="36" spans="1:18" ht="15.75" thickBot="1" x14ac:dyDescent="0.3">
      <c r="A36" s="73">
        <v>42423</v>
      </c>
      <c r="B36" s="74" t="s">
        <v>332</v>
      </c>
      <c r="C36" s="74" t="s">
        <v>310</v>
      </c>
      <c r="D36" s="78" t="s">
        <v>308</v>
      </c>
      <c r="O36" s="62">
        <v>42445</v>
      </c>
      <c r="P36" s="63" t="s">
        <v>355</v>
      </c>
      <c r="Q36" s="63" t="s">
        <v>310</v>
      </c>
      <c r="R36" s="72" t="s">
        <v>330</v>
      </c>
    </row>
    <row r="37" spans="1:18" ht="15.75" thickBot="1" x14ac:dyDescent="0.3">
      <c r="A37" s="73">
        <v>42424</v>
      </c>
      <c r="B37" s="74" t="s">
        <v>345</v>
      </c>
      <c r="C37" s="74" t="s">
        <v>310</v>
      </c>
      <c r="D37" s="78" t="s">
        <v>308</v>
      </c>
      <c r="O37" s="62">
        <v>42445</v>
      </c>
      <c r="P37" s="63" t="s">
        <v>324</v>
      </c>
      <c r="Q37" s="63" t="s">
        <v>310</v>
      </c>
      <c r="R37" s="72" t="s">
        <v>330</v>
      </c>
    </row>
    <row r="38" spans="1:18" ht="15.75" thickBot="1" x14ac:dyDescent="0.3">
      <c r="A38" s="73">
        <v>42424</v>
      </c>
      <c r="B38" s="74" t="s">
        <v>324</v>
      </c>
      <c r="C38" s="74" t="s">
        <v>310</v>
      </c>
      <c r="D38" s="78" t="s">
        <v>308</v>
      </c>
    </row>
  </sheetData>
  <mergeCells count="4">
    <mergeCell ref="A2:D2"/>
    <mergeCell ref="G2:J2"/>
    <mergeCell ref="G20:L20"/>
    <mergeCell ref="A22:D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7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activeCell="X45" sqref="X45"/>
    </sheetView>
  </sheetViews>
  <sheetFormatPr defaultRowHeight="15" x14ac:dyDescent="0.25"/>
  <cols>
    <col min="1" max="1" customWidth="true" style="47" width="20.140625" collapsed="true"/>
    <col min="2" max="2" bestFit="true" customWidth="true" width="10.85546875" collapsed="true"/>
    <col min="4" max="5" customWidth="true" width="11.0" collapsed="true"/>
    <col min="6" max="6" customWidth="true" width="12.85546875" collapsed="true"/>
    <col min="7" max="7" customWidth="true" width="52.5703125" collapsed="true"/>
  </cols>
  <sheetData>
    <row r="1" spans="1:7" ht="16.5" thickTop="1" thickBot="1" x14ac:dyDescent="0.3">
      <c r="A1" s="80" t="s">
        <v>161</v>
      </c>
      <c r="B1" s="53" t="s">
        <v>272</v>
      </c>
      <c r="C1" s="53" t="s">
        <v>273</v>
      </c>
      <c r="D1" s="53" t="s">
        <v>274</v>
      </c>
      <c r="E1" s="53" t="s">
        <v>275</v>
      </c>
      <c r="F1" s="53" t="s">
        <v>276</v>
      </c>
      <c r="G1" s="54" t="s">
        <v>277</v>
      </c>
    </row>
    <row r="2">
      <c r="A2" t="s">
        <v>358</v>
      </c>
      <c r="B2" t="s">
        <v>362</v>
      </c>
      <c r="C2" t="s">
        <v>363</v>
      </c>
      <c r="D2" t="s">
        <v>364</v>
      </c>
      <c r="E2" t="s">
        <v>365</v>
      </c>
      <c r="F2" t="s">
        <v>366</v>
      </c>
      <c r="G2" t="s">
        <v>367</v>
      </c>
    </row>
    <row r="3">
      <c r="A3" t="s">
        <v>358</v>
      </c>
      <c r="B3" t="s">
        <v>368</v>
      </c>
      <c r="C3" t="s">
        <v>363</v>
      </c>
      <c r="D3" t="s">
        <v>369</v>
      </c>
      <c r="E3" t="s">
        <v>365</v>
      </c>
      <c r="F3" t="s">
        <v>366</v>
      </c>
      <c r="G3" t="s">
        <v>370</v>
      </c>
    </row>
    <row r="4">
      <c r="A4" t="s">
        <v>358</v>
      </c>
      <c r="B4" t="s">
        <v>371</v>
      </c>
      <c r="C4" t="s">
        <v>363</v>
      </c>
      <c r="D4" t="s">
        <v>372</v>
      </c>
      <c r="E4" t="s">
        <v>365</v>
      </c>
      <c r="F4" t="s">
        <v>366</v>
      </c>
      <c r="G4" t="s">
        <v>373</v>
      </c>
    </row>
    <row r="5">
      <c r="A5" t="s">
        <v>358</v>
      </c>
      <c r="B5" t="s">
        <v>374</v>
      </c>
      <c r="C5" t="s">
        <v>363</v>
      </c>
      <c r="D5" t="s">
        <v>375</v>
      </c>
      <c r="E5" t="s">
        <v>365</v>
      </c>
      <c r="F5" t="s">
        <v>366</v>
      </c>
      <c r="G5" t="s">
        <v>376</v>
      </c>
    </row>
    <row r="6">
      <c r="A6" t="s">
        <v>358</v>
      </c>
      <c r="B6" t="s">
        <v>377</v>
      </c>
      <c r="C6" t="s">
        <v>363</v>
      </c>
      <c r="D6" t="s">
        <v>369</v>
      </c>
      <c r="E6" t="s">
        <v>365</v>
      </c>
      <c r="F6" t="s">
        <v>366</v>
      </c>
      <c r="G6" t="s">
        <v>378</v>
      </c>
    </row>
    <row r="7">
      <c r="A7" t="s">
        <v>358</v>
      </c>
      <c r="B7" t="s">
        <v>379</v>
      </c>
      <c r="C7" t="s">
        <v>363</v>
      </c>
      <c r="D7" t="s">
        <v>369</v>
      </c>
      <c r="E7" t="s">
        <v>380</v>
      </c>
      <c r="F7" t="s">
        <v>366</v>
      </c>
      <c r="G7" t="s">
        <v>381</v>
      </c>
    </row>
    <row r="8">
      <c r="A8" t="s">
        <v>358</v>
      </c>
      <c r="B8" t="s">
        <v>382</v>
      </c>
      <c r="C8" t="s">
        <v>363</v>
      </c>
      <c r="D8" t="s">
        <v>383</v>
      </c>
      <c r="E8" t="s">
        <v>384</v>
      </c>
      <c r="F8" t="s">
        <v>366</v>
      </c>
      <c r="G8" t="s">
        <v>385</v>
      </c>
    </row>
  </sheetData>
  <autoFilter ref="A1:G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customWidth="true" style="47" width="23.42578125" collapsed="true"/>
    <col min="2" max="2" customWidth="true" width="13.42578125" collapsed="true"/>
    <col min="3" max="3" customWidth="true" width="40.42578125" collapsed="true"/>
    <col min="5" max="5" customWidth="true" width="13.28515625" collapsed="true"/>
    <col min="6" max="6" customWidth="true" width="11.28515625" collapsed="true"/>
    <col min="7" max="7" customWidth="true" width="9.5703125" collapsed="true"/>
  </cols>
  <sheetData>
    <row r="1" spans="1:7" ht="16.5" thickTop="1" thickBot="1" x14ac:dyDescent="0.3">
      <c r="A1" s="80" t="s">
        <v>161</v>
      </c>
      <c r="B1" s="53" t="s">
        <v>272</v>
      </c>
      <c r="C1" s="53" t="s">
        <v>278</v>
      </c>
      <c r="D1" s="53" t="s">
        <v>279</v>
      </c>
      <c r="E1" s="53" t="s">
        <v>280</v>
      </c>
      <c r="F1" s="55" t="s">
        <v>275</v>
      </c>
      <c r="G1" s="56" t="s">
        <v>272</v>
      </c>
    </row>
    <row r="2">
      <c r="A2" t="s">
        <v>358</v>
      </c>
      <c r="B2" t="s">
        <v>368</v>
      </c>
      <c r="C2" t="s">
        <v>386</v>
      </c>
      <c r="D2" t="s">
        <v>387</v>
      </c>
      <c r="E2" t="s">
        <v>388</v>
      </c>
    </row>
    <row r="3">
      <c r="A3" t="s">
        <v>358</v>
      </c>
      <c r="B3" t="s">
        <v>374</v>
      </c>
      <c r="C3" t="s">
        <v>389</v>
      </c>
      <c r="D3" t="s">
        <v>390</v>
      </c>
      <c r="E3" t="s">
        <v>388</v>
      </c>
    </row>
    <row r="4">
      <c r="A4" t="s">
        <v>358</v>
      </c>
      <c r="B4" t="s">
        <v>377</v>
      </c>
      <c r="C4" t="s">
        <v>391</v>
      </c>
      <c r="D4" t="s">
        <v>392</v>
      </c>
      <c r="E4" t="s">
        <v>388</v>
      </c>
    </row>
    <row r="5">
      <c r="A5" t="s">
        <v>358</v>
      </c>
      <c r="B5" t="s">
        <v>379</v>
      </c>
      <c r="C5" t="s">
        <v>393</v>
      </c>
      <c r="D5" t="s">
        <v>394</v>
      </c>
      <c r="E5" t="s">
        <v>395</v>
      </c>
    </row>
    <row r="6">
      <c r="A6" t="s">
        <v>358</v>
      </c>
      <c r="B6" t="s">
        <v>382</v>
      </c>
      <c r="C6" t="s">
        <v>396</v>
      </c>
      <c r="D6" t="s">
        <v>387</v>
      </c>
      <c r="E6" t="s">
        <v>388</v>
      </c>
    </row>
    <row r="7">
      <c r="A7" t="s">
        <v>358</v>
      </c>
      <c r="B7" t="s">
        <v>382</v>
      </c>
      <c r="C7" t="s">
        <v>397</v>
      </c>
      <c r="D7" t="s">
        <v>387</v>
      </c>
      <c r="E7" t="s">
        <v>388</v>
      </c>
    </row>
    <row r="8">
      <c r="A8" t="s">
        <v>358</v>
      </c>
      <c r="B8" t="s">
        <v>382</v>
      </c>
      <c r="C8" t="s">
        <v>398</v>
      </c>
      <c r="D8" t="s">
        <v>387</v>
      </c>
      <c r="E8" t="s">
        <v>388</v>
      </c>
    </row>
    <row r="9">
      <c r="A9" t="s">
        <v>358</v>
      </c>
      <c r="B9" t="s">
        <v>382</v>
      </c>
      <c r="C9" t="s">
        <v>399</v>
      </c>
      <c r="D9" t="s">
        <v>387</v>
      </c>
      <c r="E9" t="s">
        <v>388</v>
      </c>
    </row>
  </sheetData>
  <autoFilter ref="A1:G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"/>
  <sheetViews>
    <sheetView zoomScale="70" zoomScaleNormal="70" workbookViewId="0">
      <pane ySplit="1" topLeftCell="A2" activePane="bottomLeft" state="frozen"/>
      <selection pane="bottomLeft" activeCell="S42" sqref="S42"/>
    </sheetView>
  </sheetViews>
  <sheetFormatPr defaultRowHeight="15" x14ac:dyDescent="0.25"/>
  <cols>
    <col min="1" max="1" customWidth="true" style="47" width="22.85546875" collapsed="true"/>
    <col min="17" max="17" customWidth="true" width="104.0" collapsed="true"/>
  </cols>
  <sheetData>
    <row r="1" spans="1:19" ht="16.5" thickTop="1" thickBot="1" x14ac:dyDescent="0.3">
      <c r="A1" s="80" t="s">
        <v>161</v>
      </c>
      <c r="B1" s="53" t="s">
        <v>281</v>
      </c>
      <c r="C1" s="53" t="s">
        <v>282</v>
      </c>
      <c r="D1" s="53" t="s">
        <v>283</v>
      </c>
      <c r="E1" s="53" t="s">
        <v>284</v>
      </c>
      <c r="F1" s="53" t="s">
        <v>285</v>
      </c>
      <c r="G1" s="53" t="s">
        <v>286</v>
      </c>
      <c r="H1" s="53" t="s">
        <v>287</v>
      </c>
      <c r="I1" s="53" t="s">
        <v>288</v>
      </c>
      <c r="J1" s="57" t="s">
        <v>289</v>
      </c>
      <c r="K1" s="53" t="s">
        <v>290</v>
      </c>
      <c r="L1" s="53" t="s">
        <v>291</v>
      </c>
      <c r="M1" s="57" t="s">
        <v>292</v>
      </c>
      <c r="N1" s="53" t="s">
        <v>293</v>
      </c>
      <c r="O1" s="53" t="s">
        <v>274</v>
      </c>
      <c r="P1" s="53" t="s">
        <v>294</v>
      </c>
      <c r="Q1" s="53" t="s">
        <v>295</v>
      </c>
      <c r="R1" s="58" t="s">
        <v>296</v>
      </c>
      <c r="S1" s="59" t="s">
        <v>186</v>
      </c>
    </row>
    <row r="2">
      <c r="A2" t="s">
        <v>358</v>
      </c>
      <c r="B2" t="s">
        <v>400</v>
      </c>
      <c r="C2" t="s">
        <v>401</v>
      </c>
      <c r="D2" t="s">
        <v>308</v>
      </c>
      <c r="E2" t="s">
        <v>402</v>
      </c>
      <c r="F2" t="s">
        <v>401</v>
      </c>
      <c r="G2" t="s">
        <v>403</v>
      </c>
      <c r="H2" t="s">
        <v>404</v>
      </c>
      <c r="I2" t="s">
        <v>405</v>
      </c>
      <c r="J2" t="s">
        <v>406</v>
      </c>
      <c r="K2" t="s">
        <v>407</v>
      </c>
      <c r="L2" t="s">
        <v>406</v>
      </c>
      <c r="M2" t="s">
        <v>406</v>
      </c>
      <c r="N2" t="s">
        <v>406</v>
      </c>
      <c r="O2" t="s">
        <v>408</v>
      </c>
      <c r="P2"/>
      <c r="Q2" t="s">
        <v>409</v>
      </c>
    </row>
    <row r="3">
      <c r="A3" t="s">
        <v>358</v>
      </c>
      <c r="B3" t="s">
        <v>400</v>
      </c>
      <c r="C3" t="s">
        <v>410</v>
      </c>
      <c r="D3" t="s">
        <v>308</v>
      </c>
      <c r="E3" t="s">
        <v>402</v>
      </c>
      <c r="F3" t="s">
        <v>410</v>
      </c>
      <c r="G3" t="s">
        <v>403</v>
      </c>
      <c r="H3" t="s">
        <v>404</v>
      </c>
      <c r="I3" t="s">
        <v>411</v>
      </c>
      <c r="J3" t="s">
        <v>406</v>
      </c>
      <c r="K3" t="s">
        <v>204</v>
      </c>
      <c r="L3" t="s">
        <v>406</v>
      </c>
      <c r="M3" t="s">
        <v>406</v>
      </c>
      <c r="N3" t="s">
        <v>406</v>
      </c>
      <c r="O3" t="s">
        <v>408</v>
      </c>
      <c r="P3"/>
      <c r="Q3" t="s">
        <v>412</v>
      </c>
    </row>
    <row r="4">
      <c r="A4" t="s">
        <v>358</v>
      </c>
      <c r="B4" t="s">
        <v>400</v>
      </c>
      <c r="C4" t="s">
        <v>413</v>
      </c>
      <c r="D4" t="s">
        <v>308</v>
      </c>
      <c r="E4" t="s">
        <v>402</v>
      </c>
      <c r="F4" t="s">
        <v>413</v>
      </c>
      <c r="G4" t="s">
        <v>403</v>
      </c>
      <c r="H4" t="s">
        <v>404</v>
      </c>
      <c r="I4" t="s">
        <v>405</v>
      </c>
      <c r="J4" t="s">
        <v>414</v>
      </c>
      <c r="K4" t="s">
        <v>415</v>
      </c>
      <c r="L4" t="s">
        <v>406</v>
      </c>
      <c r="M4" t="s">
        <v>406</v>
      </c>
      <c r="N4" t="s">
        <v>406</v>
      </c>
      <c r="O4" t="s">
        <v>408</v>
      </c>
      <c r="P4"/>
      <c r="Q4" t="s">
        <v>416</v>
      </c>
    </row>
    <row r="5">
      <c r="A5" t="s">
        <v>358</v>
      </c>
      <c r="B5" t="s">
        <v>400</v>
      </c>
      <c r="C5" t="s">
        <v>417</v>
      </c>
      <c r="D5" t="s">
        <v>308</v>
      </c>
      <c r="E5" t="s">
        <v>402</v>
      </c>
      <c r="F5" t="s">
        <v>417</v>
      </c>
      <c r="G5" t="s">
        <v>403</v>
      </c>
      <c r="H5" t="s">
        <v>404</v>
      </c>
      <c r="I5" t="s">
        <v>418</v>
      </c>
      <c r="J5" t="s">
        <v>406</v>
      </c>
      <c r="K5" t="s">
        <v>419</v>
      </c>
      <c r="L5" t="s">
        <v>414</v>
      </c>
      <c r="M5" t="s">
        <v>406</v>
      </c>
      <c r="N5" t="s">
        <v>406</v>
      </c>
      <c r="O5" t="s">
        <v>408</v>
      </c>
      <c r="P5"/>
      <c r="Q5" t="s">
        <v>420</v>
      </c>
    </row>
    <row r="6">
      <c r="A6" t="s">
        <v>358</v>
      </c>
      <c r="B6" t="s">
        <v>400</v>
      </c>
      <c r="C6" t="s">
        <v>421</v>
      </c>
      <c r="D6" t="s">
        <v>308</v>
      </c>
      <c r="E6" t="s">
        <v>402</v>
      </c>
      <c r="F6" t="s">
        <v>421</v>
      </c>
      <c r="G6" t="s">
        <v>403</v>
      </c>
      <c r="H6" t="s">
        <v>404</v>
      </c>
      <c r="I6" t="s">
        <v>418</v>
      </c>
      <c r="J6" t="s">
        <v>406</v>
      </c>
      <c r="K6" t="s">
        <v>419</v>
      </c>
      <c r="L6" t="s">
        <v>406</v>
      </c>
      <c r="M6" t="s">
        <v>406</v>
      </c>
      <c r="N6" t="s">
        <v>406</v>
      </c>
      <c r="O6" t="s">
        <v>408</v>
      </c>
      <c r="P6"/>
      <c r="Q6" t="s">
        <v>422</v>
      </c>
    </row>
    <row r="7">
      <c r="A7" t="s">
        <v>358</v>
      </c>
      <c r="B7" t="s">
        <v>400</v>
      </c>
      <c r="C7" t="s">
        <v>423</v>
      </c>
      <c r="D7" t="s">
        <v>308</v>
      </c>
      <c r="E7" t="s">
        <v>402</v>
      </c>
      <c r="F7" t="s">
        <v>423</v>
      </c>
      <c r="G7" t="s">
        <v>403</v>
      </c>
      <c r="H7" t="s">
        <v>404</v>
      </c>
      <c r="I7" t="s">
        <v>424</v>
      </c>
      <c r="J7" t="s">
        <v>406</v>
      </c>
      <c r="K7" t="s">
        <v>425</v>
      </c>
      <c r="L7" t="s">
        <v>406</v>
      </c>
      <c r="M7" t="s">
        <v>406</v>
      </c>
      <c r="N7" t="s">
        <v>406</v>
      </c>
      <c r="O7" t="s">
        <v>408</v>
      </c>
      <c r="P7"/>
      <c r="Q7" t="s">
        <v>426</v>
      </c>
    </row>
    <row r="8">
      <c r="A8" t="s">
        <v>358</v>
      </c>
      <c r="B8" t="s">
        <v>400</v>
      </c>
      <c r="C8" t="s">
        <v>427</v>
      </c>
      <c r="D8" t="s">
        <v>308</v>
      </c>
      <c r="E8" t="s">
        <v>402</v>
      </c>
      <c r="F8" t="s">
        <v>427</v>
      </c>
      <c r="G8" t="s">
        <v>403</v>
      </c>
      <c r="H8" t="s">
        <v>404</v>
      </c>
      <c r="I8" t="s">
        <v>424</v>
      </c>
      <c r="J8" t="s">
        <v>406</v>
      </c>
      <c r="K8" t="s">
        <v>425</v>
      </c>
      <c r="L8" t="s">
        <v>406</v>
      </c>
      <c r="M8" t="s">
        <v>406</v>
      </c>
      <c r="N8" t="s">
        <v>406</v>
      </c>
      <c r="O8" t="s">
        <v>408</v>
      </c>
      <c r="P8"/>
      <c r="Q8" t="s">
        <v>428</v>
      </c>
    </row>
    <row r="9">
      <c r="A9" t="s">
        <v>358</v>
      </c>
      <c r="B9" t="s">
        <v>400</v>
      </c>
      <c r="C9" t="s">
        <v>429</v>
      </c>
      <c r="D9" t="s">
        <v>308</v>
      </c>
      <c r="E9" t="s">
        <v>402</v>
      </c>
      <c r="F9" t="s">
        <v>429</v>
      </c>
      <c r="G9" t="s">
        <v>403</v>
      </c>
      <c r="H9" t="s">
        <v>404</v>
      </c>
      <c r="I9" t="s">
        <v>430</v>
      </c>
      <c r="J9" t="s">
        <v>406</v>
      </c>
      <c r="K9" t="s">
        <v>425</v>
      </c>
      <c r="L9" t="s">
        <v>406</v>
      </c>
      <c r="M9" t="s">
        <v>406</v>
      </c>
      <c r="N9" t="s">
        <v>406</v>
      </c>
      <c r="O9" t="s">
        <v>408</v>
      </c>
      <c r="P9"/>
      <c r="Q9" t="s">
        <v>431</v>
      </c>
    </row>
    <row r="10">
      <c r="A10" t="s">
        <v>358</v>
      </c>
      <c r="B10" t="s">
        <v>400</v>
      </c>
      <c r="C10" t="s">
        <v>432</v>
      </c>
      <c r="D10" t="s">
        <v>433</v>
      </c>
      <c r="E10" t="s">
        <v>402</v>
      </c>
      <c r="F10" t="s">
        <v>432</v>
      </c>
      <c r="G10" t="s">
        <v>403</v>
      </c>
      <c r="H10" t="s">
        <v>404</v>
      </c>
      <c r="I10" t="s">
        <v>430</v>
      </c>
      <c r="J10" t="s">
        <v>406</v>
      </c>
      <c r="K10" t="s">
        <v>425</v>
      </c>
      <c r="L10" t="s">
        <v>406</v>
      </c>
      <c r="M10" t="s">
        <v>406</v>
      </c>
      <c r="N10" t="s">
        <v>406</v>
      </c>
      <c r="O10" t="s">
        <v>408</v>
      </c>
      <c r="P10"/>
      <c r="Q10" t="s">
        <v>434</v>
      </c>
    </row>
    <row r="11">
      <c r="A11" t="s">
        <v>358</v>
      </c>
      <c r="B11" t="s">
        <v>400</v>
      </c>
      <c r="C11" t="s">
        <v>435</v>
      </c>
      <c r="D11" t="s">
        <v>433</v>
      </c>
      <c r="E11" t="s">
        <v>402</v>
      </c>
      <c r="F11" t="s">
        <v>435</v>
      </c>
      <c r="G11" t="s">
        <v>403</v>
      </c>
      <c r="H11" t="s">
        <v>404</v>
      </c>
      <c r="I11" t="s">
        <v>430</v>
      </c>
      <c r="J11" t="s">
        <v>414</v>
      </c>
      <c r="K11" t="s">
        <v>425</v>
      </c>
      <c r="L11" t="s">
        <v>406</v>
      </c>
      <c r="M11" t="s">
        <v>406</v>
      </c>
      <c r="N11" t="s">
        <v>406</v>
      </c>
      <c r="O11" t="s">
        <v>408</v>
      </c>
      <c r="P11"/>
      <c r="Q11" t="s">
        <v>436</v>
      </c>
    </row>
    <row r="12">
      <c r="A12" t="s">
        <v>358</v>
      </c>
      <c r="B12" t="s">
        <v>400</v>
      </c>
      <c r="C12" t="s">
        <v>437</v>
      </c>
      <c r="D12" t="s">
        <v>433</v>
      </c>
      <c r="E12" t="s">
        <v>402</v>
      </c>
      <c r="F12" t="s">
        <v>437</v>
      </c>
      <c r="G12" t="s">
        <v>403</v>
      </c>
      <c r="H12" t="s">
        <v>404</v>
      </c>
      <c r="I12" t="s">
        <v>430</v>
      </c>
      <c r="J12" t="s">
        <v>406</v>
      </c>
      <c r="K12" t="s">
        <v>425</v>
      </c>
      <c r="L12" t="s">
        <v>406</v>
      </c>
      <c r="M12" t="s">
        <v>406</v>
      </c>
      <c r="N12" t="s">
        <v>406</v>
      </c>
      <c r="O12" t="s">
        <v>408</v>
      </c>
      <c r="P12"/>
      <c r="Q12" t="s">
        <v>431</v>
      </c>
    </row>
    <row r="13">
      <c r="A13" t="s">
        <v>358</v>
      </c>
      <c r="B13" t="s">
        <v>400</v>
      </c>
      <c r="C13" t="s">
        <v>438</v>
      </c>
      <c r="D13" t="s">
        <v>439</v>
      </c>
      <c r="E13" t="s">
        <v>402</v>
      </c>
      <c r="F13" t="s">
        <v>438</v>
      </c>
      <c r="G13" t="s">
        <v>403</v>
      </c>
      <c r="H13" t="s">
        <v>404</v>
      </c>
      <c r="I13" t="s">
        <v>430</v>
      </c>
      <c r="J13" t="s">
        <v>406</v>
      </c>
      <c r="K13" t="s">
        <v>425</v>
      </c>
      <c r="L13" t="s">
        <v>406</v>
      </c>
      <c r="M13" t="s">
        <v>406</v>
      </c>
      <c r="N13" t="s">
        <v>406</v>
      </c>
      <c r="O13" t="s">
        <v>408</v>
      </c>
      <c r="P13"/>
      <c r="Q13" t="s">
        <v>440</v>
      </c>
    </row>
    <row r="14">
      <c r="A14" t="s">
        <v>358</v>
      </c>
      <c r="B14" t="s">
        <v>400</v>
      </c>
      <c r="C14" t="s">
        <v>441</v>
      </c>
      <c r="D14" t="s">
        <v>439</v>
      </c>
      <c r="E14" t="s">
        <v>402</v>
      </c>
      <c r="F14" t="s">
        <v>441</v>
      </c>
      <c r="G14" t="s">
        <v>403</v>
      </c>
      <c r="H14" t="s">
        <v>404</v>
      </c>
      <c r="I14" t="s">
        <v>430</v>
      </c>
      <c r="J14" t="s">
        <v>414</v>
      </c>
      <c r="K14" t="s">
        <v>425</v>
      </c>
      <c r="L14" t="s">
        <v>406</v>
      </c>
      <c r="M14" t="s">
        <v>406</v>
      </c>
      <c r="N14" t="s">
        <v>406</v>
      </c>
      <c r="O14" t="s">
        <v>408</v>
      </c>
      <c r="P14"/>
      <c r="Q14" t="s">
        <v>442</v>
      </c>
    </row>
    <row r="15">
      <c r="A15" t="s">
        <v>358</v>
      </c>
      <c r="B15" t="s">
        <v>400</v>
      </c>
      <c r="C15" t="s">
        <v>443</v>
      </c>
      <c r="D15" t="s">
        <v>444</v>
      </c>
      <c r="E15" t="s">
        <v>374</v>
      </c>
      <c r="F15" t="s">
        <v>401</v>
      </c>
      <c r="G15" t="s">
        <v>403</v>
      </c>
      <c r="H15" t="s">
        <v>404</v>
      </c>
      <c r="I15" t="s">
        <v>411</v>
      </c>
      <c r="J15" t="s">
        <v>406</v>
      </c>
      <c r="K15" t="s">
        <v>419</v>
      </c>
      <c r="L15" t="s">
        <v>406</v>
      </c>
      <c r="M15" t="s">
        <v>406</v>
      </c>
      <c r="N15" t="s">
        <v>406</v>
      </c>
      <c r="O15" t="s">
        <v>375</v>
      </c>
      <c r="P15"/>
      <c r="Q15" t="s">
        <v>445</v>
      </c>
    </row>
    <row r="16">
      <c r="A16" t="s">
        <v>358</v>
      </c>
      <c r="B16" t="s">
        <v>400</v>
      </c>
      <c r="C16" t="s">
        <v>446</v>
      </c>
      <c r="D16" t="s">
        <v>444</v>
      </c>
      <c r="E16" t="s">
        <v>374</v>
      </c>
      <c r="F16" t="s">
        <v>435</v>
      </c>
      <c r="G16" t="s">
        <v>403</v>
      </c>
      <c r="H16" t="s">
        <v>404</v>
      </c>
      <c r="I16" t="s">
        <v>447</v>
      </c>
      <c r="J16" t="s">
        <v>406</v>
      </c>
      <c r="K16" t="s">
        <v>174</v>
      </c>
      <c r="L16" t="s">
        <v>406</v>
      </c>
      <c r="M16" t="s">
        <v>414</v>
      </c>
      <c r="N16" t="s">
        <v>406</v>
      </c>
      <c r="O16" t="s">
        <v>375</v>
      </c>
      <c r="P16"/>
      <c r="Q16" t="s">
        <v>448</v>
      </c>
    </row>
    <row r="17">
      <c r="A17" t="s">
        <v>358</v>
      </c>
      <c r="B17" t="s">
        <v>400</v>
      </c>
      <c r="C17" t="s">
        <v>449</v>
      </c>
      <c r="D17" t="s">
        <v>444</v>
      </c>
      <c r="E17" t="s">
        <v>374</v>
      </c>
      <c r="F17" t="s">
        <v>450</v>
      </c>
      <c r="G17" t="s">
        <v>403</v>
      </c>
      <c r="H17" t="s">
        <v>404</v>
      </c>
      <c r="I17" t="s">
        <v>447</v>
      </c>
      <c r="J17" t="s">
        <v>406</v>
      </c>
      <c r="K17" t="s">
        <v>174</v>
      </c>
      <c r="L17" t="s">
        <v>406</v>
      </c>
      <c r="M17" t="s">
        <v>414</v>
      </c>
      <c r="N17" t="s">
        <v>406</v>
      </c>
      <c r="O17" t="s">
        <v>375</v>
      </c>
      <c r="P17"/>
      <c r="Q17" t="s">
        <v>451</v>
      </c>
    </row>
    <row r="18">
      <c r="A18" t="s">
        <v>358</v>
      </c>
      <c r="B18" t="s">
        <v>400</v>
      </c>
      <c r="C18" t="s">
        <v>452</v>
      </c>
      <c r="D18" t="s">
        <v>444</v>
      </c>
      <c r="E18" t="s">
        <v>402</v>
      </c>
      <c r="F18" t="s">
        <v>443</v>
      </c>
      <c r="G18" t="s">
        <v>403</v>
      </c>
      <c r="H18" t="s">
        <v>404</v>
      </c>
      <c r="I18" t="s">
        <v>411</v>
      </c>
      <c r="J18" t="s">
        <v>406</v>
      </c>
      <c r="K18" t="s">
        <v>407</v>
      </c>
      <c r="L18" t="s">
        <v>414</v>
      </c>
      <c r="M18" t="s">
        <v>406</v>
      </c>
      <c r="N18" t="s">
        <v>406</v>
      </c>
      <c r="O18" t="s">
        <v>408</v>
      </c>
      <c r="P18"/>
      <c r="Q18" t="s">
        <v>453</v>
      </c>
    </row>
    <row r="19">
      <c r="A19" t="s">
        <v>358</v>
      </c>
      <c r="B19" t="s">
        <v>400</v>
      </c>
      <c r="C19" t="s">
        <v>454</v>
      </c>
      <c r="D19" t="s">
        <v>444</v>
      </c>
      <c r="E19" t="s">
        <v>402</v>
      </c>
      <c r="F19" t="s">
        <v>446</v>
      </c>
      <c r="G19" t="s">
        <v>403</v>
      </c>
      <c r="H19" t="s">
        <v>404</v>
      </c>
      <c r="I19" t="s">
        <v>411</v>
      </c>
      <c r="J19" t="s">
        <v>406</v>
      </c>
      <c r="K19" t="s">
        <v>407</v>
      </c>
      <c r="L19" t="s">
        <v>414</v>
      </c>
      <c r="M19" t="s">
        <v>406</v>
      </c>
      <c r="N19" t="s">
        <v>406</v>
      </c>
      <c r="O19" t="s">
        <v>408</v>
      </c>
      <c r="P19"/>
      <c r="Q19" t="s">
        <v>455</v>
      </c>
    </row>
    <row r="20">
      <c r="A20" t="s">
        <v>358</v>
      </c>
      <c r="B20" t="s">
        <v>400</v>
      </c>
      <c r="C20" t="s">
        <v>456</v>
      </c>
      <c r="D20" t="s">
        <v>444</v>
      </c>
      <c r="E20" t="s">
        <v>402</v>
      </c>
      <c r="F20" t="s">
        <v>449</v>
      </c>
      <c r="G20" t="s">
        <v>403</v>
      </c>
      <c r="H20" t="s">
        <v>404</v>
      </c>
      <c r="I20" t="s">
        <v>411</v>
      </c>
      <c r="J20" t="s">
        <v>406</v>
      </c>
      <c r="K20" t="s">
        <v>407</v>
      </c>
      <c r="L20" t="s">
        <v>414</v>
      </c>
      <c r="M20" t="s">
        <v>406</v>
      </c>
      <c r="N20" t="s">
        <v>406</v>
      </c>
      <c r="O20" t="s">
        <v>408</v>
      </c>
      <c r="P20"/>
      <c r="Q20" t="s">
        <v>457</v>
      </c>
    </row>
    <row r="21">
      <c r="A21" t="s">
        <v>358</v>
      </c>
      <c r="B21" t="s">
        <v>400</v>
      </c>
      <c r="C21" t="s">
        <v>450</v>
      </c>
      <c r="D21" t="s">
        <v>444</v>
      </c>
      <c r="E21" t="s">
        <v>402</v>
      </c>
      <c r="F21" t="s">
        <v>452</v>
      </c>
      <c r="G21" t="s">
        <v>403</v>
      </c>
      <c r="H21" t="s">
        <v>404</v>
      </c>
      <c r="I21" t="s">
        <v>411</v>
      </c>
      <c r="J21" t="s">
        <v>406</v>
      </c>
      <c r="K21" t="s">
        <v>407</v>
      </c>
      <c r="L21" t="s">
        <v>406</v>
      </c>
      <c r="M21" t="s">
        <v>406</v>
      </c>
      <c r="N21" t="s">
        <v>406</v>
      </c>
      <c r="O21" t="s">
        <v>408</v>
      </c>
      <c r="P21"/>
      <c r="Q21" t="s">
        <v>458</v>
      </c>
    </row>
    <row r="22">
      <c r="A22" t="s">
        <v>358</v>
      </c>
      <c r="B22" t="s">
        <v>400</v>
      </c>
      <c r="C22" t="s">
        <v>459</v>
      </c>
      <c r="D22" t="s">
        <v>444</v>
      </c>
      <c r="E22" t="s">
        <v>402</v>
      </c>
      <c r="F22" t="s">
        <v>454</v>
      </c>
      <c r="G22" t="s">
        <v>403</v>
      </c>
      <c r="H22" t="s">
        <v>404</v>
      </c>
      <c r="I22" t="s">
        <v>411</v>
      </c>
      <c r="J22" t="s">
        <v>406</v>
      </c>
      <c r="K22" t="s">
        <v>407</v>
      </c>
      <c r="L22" t="s">
        <v>406</v>
      </c>
      <c r="M22" t="s">
        <v>406</v>
      </c>
      <c r="N22" t="s">
        <v>406</v>
      </c>
      <c r="O22" t="s">
        <v>408</v>
      </c>
      <c r="P22"/>
      <c r="Q22" t="s">
        <v>460</v>
      </c>
    </row>
    <row r="23">
      <c r="A23" t="s">
        <v>358</v>
      </c>
      <c r="B23" t="s">
        <v>400</v>
      </c>
      <c r="C23" t="s">
        <v>461</v>
      </c>
      <c r="D23" t="s">
        <v>444</v>
      </c>
      <c r="E23" t="s">
        <v>402</v>
      </c>
      <c r="F23" t="s">
        <v>456</v>
      </c>
      <c r="G23" t="s">
        <v>403</v>
      </c>
      <c r="H23" t="s">
        <v>404</v>
      </c>
      <c r="I23" t="s">
        <v>411</v>
      </c>
      <c r="J23" t="s">
        <v>406</v>
      </c>
      <c r="K23" t="s">
        <v>407</v>
      </c>
      <c r="L23" t="s">
        <v>406</v>
      </c>
      <c r="M23" t="s">
        <v>406</v>
      </c>
      <c r="N23" t="s">
        <v>406</v>
      </c>
      <c r="O23" t="s">
        <v>408</v>
      </c>
      <c r="P23"/>
      <c r="Q23" t="s">
        <v>462</v>
      </c>
    </row>
    <row r="24">
      <c r="A24" t="s">
        <v>358</v>
      </c>
      <c r="B24" t="s">
        <v>400</v>
      </c>
      <c r="C24" t="s">
        <v>463</v>
      </c>
      <c r="D24" t="s">
        <v>444</v>
      </c>
      <c r="E24" t="s">
        <v>402</v>
      </c>
      <c r="F24" t="s">
        <v>450</v>
      </c>
      <c r="G24" t="s">
        <v>403</v>
      </c>
      <c r="H24" t="s">
        <v>404</v>
      </c>
      <c r="I24" t="s">
        <v>418</v>
      </c>
      <c r="J24" t="s">
        <v>406</v>
      </c>
      <c r="K24" t="s">
        <v>419</v>
      </c>
      <c r="L24" t="s">
        <v>406</v>
      </c>
      <c r="M24" t="s">
        <v>406</v>
      </c>
      <c r="N24" t="s">
        <v>406</v>
      </c>
      <c r="O24" t="s">
        <v>408</v>
      </c>
      <c r="P24"/>
      <c r="Q24" t="s">
        <v>464</v>
      </c>
    </row>
    <row r="25">
      <c r="A25" t="s">
        <v>358</v>
      </c>
      <c r="B25" t="s">
        <v>400</v>
      </c>
      <c r="C25" t="s">
        <v>465</v>
      </c>
      <c r="D25" t="s">
        <v>444</v>
      </c>
      <c r="E25" t="s">
        <v>402</v>
      </c>
      <c r="F25" t="s">
        <v>459</v>
      </c>
      <c r="G25" t="s">
        <v>403</v>
      </c>
      <c r="H25" t="s">
        <v>404</v>
      </c>
      <c r="I25" t="s">
        <v>405</v>
      </c>
      <c r="J25" t="s">
        <v>414</v>
      </c>
      <c r="K25" t="s">
        <v>415</v>
      </c>
      <c r="L25" t="s">
        <v>406</v>
      </c>
      <c r="M25" t="s">
        <v>406</v>
      </c>
      <c r="N25" t="s">
        <v>406</v>
      </c>
      <c r="O25" t="s">
        <v>408</v>
      </c>
      <c r="P25"/>
      <c r="Q25" t="s">
        <v>466</v>
      </c>
    </row>
    <row r="26">
      <c r="A26" t="s">
        <v>358</v>
      </c>
      <c r="B26" t="s">
        <v>400</v>
      </c>
      <c r="C26" t="s">
        <v>467</v>
      </c>
      <c r="D26" t="s">
        <v>468</v>
      </c>
      <c r="E26" t="s">
        <v>374</v>
      </c>
      <c r="F26" t="s">
        <v>435</v>
      </c>
      <c r="G26" t="s">
        <v>403</v>
      </c>
      <c r="H26" t="s">
        <v>404</v>
      </c>
      <c r="I26" t="s">
        <v>469</v>
      </c>
      <c r="J26" t="s">
        <v>414</v>
      </c>
      <c r="K26" t="s">
        <v>470</v>
      </c>
      <c r="L26" t="s">
        <v>406</v>
      </c>
      <c r="M26" t="s">
        <v>406</v>
      </c>
      <c r="N26" t="s">
        <v>406</v>
      </c>
      <c r="O26" t="s">
        <v>375</v>
      </c>
      <c r="P26"/>
      <c r="Q26" t="s">
        <v>471</v>
      </c>
    </row>
    <row r="27">
      <c r="A27" t="s">
        <v>358</v>
      </c>
      <c r="B27" t="s">
        <v>400</v>
      </c>
      <c r="C27" t="s">
        <v>472</v>
      </c>
      <c r="D27" t="s">
        <v>468</v>
      </c>
      <c r="E27" t="s">
        <v>402</v>
      </c>
      <c r="F27" t="s">
        <v>461</v>
      </c>
      <c r="G27" t="s">
        <v>403</v>
      </c>
      <c r="H27" t="s">
        <v>404</v>
      </c>
      <c r="I27" t="s">
        <v>418</v>
      </c>
      <c r="J27" t="s">
        <v>406</v>
      </c>
      <c r="K27" t="s">
        <v>425</v>
      </c>
      <c r="L27" t="s">
        <v>406</v>
      </c>
      <c r="M27" t="s">
        <v>406</v>
      </c>
      <c r="N27" t="s">
        <v>406</v>
      </c>
      <c r="O27" t="s">
        <v>408</v>
      </c>
      <c r="P27"/>
      <c r="Q27" t="s">
        <v>473</v>
      </c>
    </row>
  </sheetData>
  <autoFilter ref="A1:S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70" zoomScaleNormal="70"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customWidth="true" style="47" width="20.28515625" collapsed="true"/>
    <col min="3" max="3" customWidth="true" width="37.85546875" collapsed="true"/>
    <col min="4" max="4" customWidth="true" width="9.42578125" collapsed="true"/>
    <col min="5" max="5" customWidth="true" width="17.42578125" collapsed="true"/>
    <col min="6" max="6" customWidth="true" width="14.140625" collapsed="true"/>
  </cols>
  <sheetData>
    <row r="1" spans="1:6" ht="16.5" thickTop="1" thickBot="1" x14ac:dyDescent="0.3">
      <c r="A1" s="80" t="s">
        <v>161</v>
      </c>
      <c r="B1" s="60" t="s">
        <v>297</v>
      </c>
      <c r="C1" s="60" t="s">
        <v>299</v>
      </c>
      <c r="D1" s="60" t="s">
        <v>298</v>
      </c>
      <c r="E1" s="60" t="s">
        <v>300</v>
      </c>
      <c r="F1" s="60" t="s">
        <v>301</v>
      </c>
    </row>
    <row r="2">
      <c r="A2" t="s">
        <v>358</v>
      </c>
      <c r="B2" t="s">
        <v>475</v>
      </c>
      <c r="C2" t="s">
        <v>474</v>
      </c>
      <c r="D2" t="s">
        <v>476</v>
      </c>
      <c r="E2" t="s">
        <v>477</v>
      </c>
      <c r="F2" t="s">
        <v>478</v>
      </c>
    </row>
    <row r="3">
      <c r="A3" t="s">
        <v>358</v>
      </c>
      <c r="B3" t="s">
        <v>475</v>
      </c>
      <c r="C3" t="s">
        <v>474</v>
      </c>
      <c r="D3" t="s">
        <v>476</v>
      </c>
      <c r="E3" t="s">
        <v>479</v>
      </c>
      <c r="F3" t="s">
        <v>478</v>
      </c>
    </row>
    <row r="4">
      <c r="A4" t="s">
        <v>358</v>
      </c>
      <c r="B4" t="s">
        <v>481</v>
      </c>
      <c r="C4" t="s">
        <v>480</v>
      </c>
      <c r="D4" t="s">
        <v>482</v>
      </c>
      <c r="E4" t="s">
        <v>483</v>
      </c>
      <c r="F4" t="s">
        <v>478</v>
      </c>
    </row>
    <row r="5">
      <c r="A5" t="s">
        <v>358</v>
      </c>
      <c r="B5" t="s">
        <v>485</v>
      </c>
      <c r="C5" t="s">
        <v>484</v>
      </c>
      <c r="D5" t="s">
        <v>482</v>
      </c>
      <c r="E5" t="s">
        <v>486</v>
      </c>
      <c r="F5" t="s">
        <v>478</v>
      </c>
    </row>
    <row r="6">
      <c r="A6" t="s">
        <v>358</v>
      </c>
      <c r="B6" t="s">
        <v>488</v>
      </c>
      <c r="C6" t="s">
        <v>487</v>
      </c>
      <c r="D6" t="s">
        <v>489</v>
      </c>
      <c r="E6" t="s">
        <v>490</v>
      </c>
      <c r="F6" t="s">
        <v>491</v>
      </c>
    </row>
    <row r="7">
      <c r="A7" t="s">
        <v>358</v>
      </c>
      <c r="B7" t="s">
        <v>493</v>
      </c>
      <c r="C7" t="s">
        <v>492</v>
      </c>
      <c r="D7" t="s">
        <v>494</v>
      </c>
      <c r="E7" t="s">
        <v>495</v>
      </c>
      <c r="F7" t="s">
        <v>478</v>
      </c>
    </row>
    <row r="8">
      <c r="A8" t="s">
        <v>358</v>
      </c>
      <c r="B8" t="s">
        <v>496</v>
      </c>
      <c r="C8" t="s">
        <v>487</v>
      </c>
      <c r="D8" t="s">
        <v>489</v>
      </c>
      <c r="E8" t="s">
        <v>497</v>
      </c>
      <c r="F8" t="s">
        <v>491</v>
      </c>
    </row>
  </sheetData>
  <autoFilter ref="A1:F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tabSelected="1" zoomScale="70" zoomScaleNormal="70" workbookViewId="0">
      <pane ySplit="1" topLeftCell="A2" activePane="bottomLeft" state="frozen"/>
      <selection pane="bottomLeft" activeCell="L16" sqref="L16"/>
    </sheetView>
  </sheetViews>
  <sheetFormatPr defaultRowHeight="15" x14ac:dyDescent="0.25"/>
  <cols>
    <col min="1" max="1" customWidth="true" style="47" width="21.5703125" collapsed="true"/>
    <col min="2" max="2" customWidth="true" width="18.85546875" collapsed="true"/>
    <col min="3" max="3" customWidth="true" width="21.5703125" collapsed="true"/>
  </cols>
  <sheetData>
    <row r="1" spans="1:3" x14ac:dyDescent="0.25">
      <c r="A1" s="81" t="s">
        <v>161</v>
      </c>
      <c r="B1" s="79" t="s">
        <v>356</v>
      </c>
      <c r="C1" s="79" t="s">
        <v>357</v>
      </c>
    </row>
    <row r="2">
      <c r="A2" t="s">
        <v>358</v>
      </c>
      <c r="B2" t="s">
        <v>394</v>
      </c>
      <c r="C2" t="s">
        <v>498</v>
      </c>
    </row>
    <row r="3">
      <c r="A3" t="s">
        <v>358</v>
      </c>
      <c r="B3" t="s">
        <v>394</v>
      </c>
      <c r="C3" t="s">
        <v>499</v>
      </c>
    </row>
    <row r="4">
      <c r="A4" t="s">
        <v>358</v>
      </c>
      <c r="B4" t="s">
        <v>390</v>
      </c>
      <c r="C4" t="s">
        <v>498</v>
      </c>
    </row>
    <row r="5">
      <c r="A5" t="s">
        <v>358</v>
      </c>
      <c r="B5" t="s">
        <v>390</v>
      </c>
      <c r="C5" t="s">
        <v>500</v>
      </c>
    </row>
    <row r="6">
      <c r="A6" t="s">
        <v>358</v>
      </c>
      <c r="B6" t="s">
        <v>390</v>
      </c>
      <c r="C6" t="s">
        <v>501</v>
      </c>
    </row>
    <row r="7">
      <c r="A7" t="s">
        <v>358</v>
      </c>
      <c r="B7" t="s">
        <v>390</v>
      </c>
      <c r="C7" t="s">
        <v>502</v>
      </c>
    </row>
    <row r="8">
      <c r="A8" t="s">
        <v>358</v>
      </c>
      <c r="B8" t="s">
        <v>390</v>
      </c>
      <c r="C8" t="s">
        <v>503</v>
      </c>
    </row>
    <row r="9">
      <c r="A9" t="s">
        <v>358</v>
      </c>
      <c r="B9" t="s">
        <v>390</v>
      </c>
      <c r="C9" t="s">
        <v>504</v>
      </c>
    </row>
    <row r="10">
      <c r="A10" t="s">
        <v>358</v>
      </c>
      <c r="B10" t="s">
        <v>390</v>
      </c>
      <c r="C10" t="s">
        <v>505</v>
      </c>
    </row>
    <row r="11">
      <c r="A11" t="s">
        <v>358</v>
      </c>
      <c r="B11" t="s">
        <v>390</v>
      </c>
      <c r="C11" t="s">
        <v>506</v>
      </c>
    </row>
    <row r="12">
      <c r="A12" t="s">
        <v>358</v>
      </c>
      <c r="B12" t="s">
        <v>387</v>
      </c>
      <c r="C12" t="s">
        <v>507</v>
      </c>
    </row>
    <row r="13">
      <c r="A13" t="s">
        <v>358</v>
      </c>
      <c r="B13" t="s">
        <v>387</v>
      </c>
      <c r="C13" t="s">
        <v>508</v>
      </c>
    </row>
  </sheetData>
  <autoFilter ref="A1:C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bestFit="true" customWidth="true" style="47" width="9.42578125" collapsed="true"/>
    <col min="2" max="2" bestFit="true" customWidth="true" style="2" width="9.0" collapsed="true"/>
    <col min="3" max="3" bestFit="true" customWidth="true" style="2" width="6.7109375" collapsed="true"/>
    <col min="4" max="4" bestFit="true" customWidth="true" style="2" width="34.5703125" collapsed="true"/>
    <col min="5" max="5" bestFit="true" customWidth="true" style="2" width="72.85546875" collapsed="true"/>
    <col min="6" max="6" bestFit="true" customWidth="true" style="2" width="44.28515625" collapsed="true"/>
    <col min="7" max="7" bestFit="true" customWidth="true" style="2" width="20.28515625" collapsed="true"/>
    <col min="8" max="8" bestFit="true" customWidth="true" style="2" width="30.7109375" collapsed="true"/>
    <col min="9" max="9" bestFit="true" customWidth="true" style="2" width="6.42578125" collapsed="true"/>
    <col min="10" max="10" bestFit="true" customWidth="true" style="2" width="19.140625" collapsed="true"/>
    <col min="11" max="11" bestFit="true" customWidth="true" style="2" width="116.7109375" collapsed="true"/>
    <col min="12" max="12" bestFit="true" customWidth="true" style="2" width="24.140625" collapsed="true"/>
    <col min="13" max="13" bestFit="true" customWidth="true" style="2" width="11.5703125" collapsed="true"/>
    <col min="14" max="14" bestFit="true" customWidth="true" style="2" width="12.28515625" collapsed="true"/>
    <col min="15" max="15" bestFit="true" customWidth="true" style="2" width="70.85546875" collapsed="true"/>
    <col min="16" max="16" bestFit="true" customWidth="true" style="2" width="19.85546875" collapsed="true"/>
    <col min="17" max="17" bestFit="true" customWidth="true" style="2" width="10.85546875" collapsed="true"/>
    <col min="18" max="18" bestFit="true" customWidth="true" style="2" width="120.0" collapsed="true"/>
    <col min="19" max="19" bestFit="true" customWidth="true" style="2" width="24.140625" collapsed="true"/>
    <col min="20" max="20" bestFit="true" customWidth="true" style="2" width="17.28515625" collapsed="true"/>
    <col min="21" max="21" bestFit="true" customWidth="true" style="2" width="2.140625" collapsed="true"/>
    <col min="22" max="22" bestFit="true" customWidth="true" style="2" width="2.42578125" collapsed="true"/>
    <col min="23" max="16384" style="2" width="9.140625" collapsed="true"/>
  </cols>
  <sheetData>
    <row r="1" spans="1:22" ht="16.5" thickTop="1" thickBot="1" x14ac:dyDescent="0.3">
      <c r="A1" s="1" t="s">
        <v>186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x14ac:dyDescent="0.25"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x14ac:dyDescent="0.25"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x14ac:dyDescent="0.25"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</row>
    <row r="6" spans="1:22" x14ac:dyDescent="0.25"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</row>
    <row r="7" spans="1:22" x14ac:dyDescent="0.25"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</row>
    <row r="8" spans="1:22" x14ac:dyDescent="0.25"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</row>
    <row r="9" spans="1:22" x14ac:dyDescent="0.25"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</row>
    <row r="10" spans="1:22" x14ac:dyDescent="0.25"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</row>
    <row r="11" spans="1:22" x14ac:dyDescent="0.25"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</row>
    <row r="12" spans="1:22" x14ac:dyDescent="0.25"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</row>
    <row r="13" spans="1:22" x14ac:dyDescent="0.25"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</row>
    <row r="14" spans="1:22" x14ac:dyDescent="0.25"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</row>
    <row r="15" spans="1:22" x14ac:dyDescent="0.25"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</row>
    <row r="16" spans="1:22" x14ac:dyDescent="0.25"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</row>
    <row r="17" spans="3:22" x14ac:dyDescent="0.25"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</row>
    <row r="18" spans="3:22" x14ac:dyDescent="0.25">
      <c r="C18" s="47"/>
      <c r="D18" s="47"/>
      <c r="E18" s="47"/>
      <c r="F18" s="47"/>
      <c r="G18" s="47"/>
      <c r="H18" s="47"/>
      <c r="I18" s="47"/>
      <c r="J18" s="51"/>
      <c r="K18" s="51"/>
      <c r="L18" s="51"/>
      <c r="M18" s="51"/>
      <c r="N18" s="51"/>
      <c r="O18" s="47"/>
      <c r="P18" s="47"/>
      <c r="Q18" s="47"/>
      <c r="R18" s="47"/>
      <c r="S18" s="47"/>
      <c r="T18" s="47"/>
      <c r="U18" s="47"/>
      <c r="V18" s="47"/>
    </row>
    <row r="19" spans="3:22" x14ac:dyDescent="0.25">
      <c r="C19" s="47"/>
      <c r="D19" s="47"/>
      <c r="E19" s="47"/>
      <c r="F19" s="47"/>
      <c r="G19" s="47"/>
      <c r="H19" s="47"/>
      <c r="I19" s="47"/>
      <c r="J19" s="51"/>
      <c r="K19" s="51"/>
      <c r="L19" s="51"/>
      <c r="M19" s="51"/>
      <c r="N19" s="51"/>
      <c r="O19" s="47"/>
      <c r="P19" s="47"/>
      <c r="Q19" s="47"/>
      <c r="R19" s="47"/>
      <c r="S19" s="47"/>
      <c r="T19" s="47"/>
      <c r="U19" s="47"/>
      <c r="V19" s="47"/>
    </row>
    <row r="20" spans="3:22" x14ac:dyDescent="0.25">
      <c r="C20" s="47"/>
      <c r="D20" s="47"/>
      <c r="E20" s="47"/>
      <c r="F20" s="47"/>
      <c r="G20" s="47"/>
      <c r="H20" s="47"/>
      <c r="I20" s="47"/>
      <c r="J20" s="51"/>
      <c r="K20" s="51"/>
      <c r="L20" s="51"/>
      <c r="M20" s="51"/>
      <c r="N20" s="51"/>
      <c r="O20" s="47"/>
      <c r="P20" s="47"/>
      <c r="Q20" s="47"/>
      <c r="R20" s="47"/>
      <c r="S20" s="47"/>
      <c r="T20" s="47"/>
      <c r="U20" s="47"/>
      <c r="V20" s="47"/>
    </row>
    <row r="21" spans="3:22" x14ac:dyDescent="0.25"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</row>
    <row r="22" spans="3:22" x14ac:dyDescent="0.25"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</row>
    <row r="23" spans="3:22" x14ac:dyDescent="0.25"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</row>
    <row r="24" spans="3:22" x14ac:dyDescent="0.25"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</row>
    <row r="25" spans="3:22" x14ac:dyDescent="0.25"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</row>
    <row r="26" spans="3:22" x14ac:dyDescent="0.25"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</row>
    <row r="27" spans="3:22" x14ac:dyDescent="0.25"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</row>
    <row r="28" spans="3:22" x14ac:dyDescent="0.25"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</row>
    <row r="29" spans="3:22" x14ac:dyDescent="0.25"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</row>
    <row r="30" spans="3:22" x14ac:dyDescent="0.25"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</row>
    <row r="31" spans="3:22" x14ac:dyDescent="0.25"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</row>
    <row r="32" spans="3:22" x14ac:dyDescent="0.25"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</row>
    <row r="33" spans="3:22" x14ac:dyDescent="0.25"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</row>
    <row r="34" spans="3:22" x14ac:dyDescent="0.25"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</row>
    <row r="35" spans="3:22" x14ac:dyDescent="0.25"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</row>
    <row r="36" spans="3:22" x14ac:dyDescent="0.25"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</row>
    <row r="37" spans="3:22" x14ac:dyDescent="0.25"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</row>
    <row r="38" spans="3:22" x14ac:dyDescent="0.25"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</row>
    <row r="39" spans="3:22" x14ac:dyDescent="0.25"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</row>
    <row r="40" spans="3:22" x14ac:dyDescent="0.25"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</row>
    <row r="41" spans="3:22" x14ac:dyDescent="0.25"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</row>
    <row r="42" spans="3:22" x14ac:dyDescent="0.25"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</row>
    <row r="43" spans="3:22" x14ac:dyDescent="0.25"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</row>
    <row r="44" spans="3:22" x14ac:dyDescent="0.25"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</row>
    <row r="45" spans="3:22" x14ac:dyDescent="0.25"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</row>
    <row r="46" spans="3:22" x14ac:dyDescent="0.25"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</row>
    <row r="47" spans="3:22" x14ac:dyDescent="0.25"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</row>
    <row r="48" spans="3:22" x14ac:dyDescent="0.25"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</row>
    <row r="49" spans="3:22" x14ac:dyDescent="0.25"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</row>
    <row r="50" spans="3:22" x14ac:dyDescent="0.25"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</row>
    <row r="51" spans="3:22" x14ac:dyDescent="0.25"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</row>
    <row r="52" spans="3:22" x14ac:dyDescent="0.25"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</row>
    <row r="53" spans="3:22" x14ac:dyDescent="0.25"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</row>
    <row r="54" spans="3:22" x14ac:dyDescent="0.25"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</row>
    <row r="55" spans="3:22" x14ac:dyDescent="0.25"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</row>
    <row r="56" spans="3:22" x14ac:dyDescent="0.25"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</row>
    <row r="57" spans="3:22" x14ac:dyDescent="0.25"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</row>
    <row r="58" spans="3:22" x14ac:dyDescent="0.25"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</row>
    <row r="59" spans="3:22" x14ac:dyDescent="0.25"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</row>
    <row r="60" spans="3:22" x14ac:dyDescent="0.25"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</row>
    <row r="61" spans="3:22" x14ac:dyDescent="0.25"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</row>
    <row r="62" spans="3:22" x14ac:dyDescent="0.25"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</row>
    <row r="63" spans="3:22" x14ac:dyDescent="0.25"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</row>
    <row r="64" spans="3:22" x14ac:dyDescent="0.25"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</row>
    <row r="65" spans="3:22" x14ac:dyDescent="0.25"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</row>
    <row r="66" spans="3:22" x14ac:dyDescent="0.25"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51"/>
      <c r="R66" s="51"/>
      <c r="S66" s="51"/>
      <c r="T66" s="51"/>
      <c r="U66" s="47"/>
      <c r="V66" s="47"/>
    </row>
    <row r="67" spans="3:22" x14ac:dyDescent="0.25"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51"/>
      <c r="R67" s="51"/>
      <c r="S67" s="51"/>
      <c r="T67" s="51"/>
      <c r="U67" s="47"/>
      <c r="V67" s="47"/>
    </row>
    <row r="68" spans="3:22" x14ac:dyDescent="0.25"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</row>
    <row r="69" spans="3:22" x14ac:dyDescent="0.25"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</row>
    <row r="70" spans="3:22" x14ac:dyDescent="0.25"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</row>
    <row r="71" spans="3:22" x14ac:dyDescent="0.25"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</row>
    <row r="72" spans="3:22" x14ac:dyDescent="0.25"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</row>
    <row r="73" spans="3:22" x14ac:dyDescent="0.25"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</row>
    <row r="74" spans="3:22" x14ac:dyDescent="0.25"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51"/>
      <c r="R74" s="51"/>
      <c r="S74" s="51"/>
      <c r="T74" s="51"/>
      <c r="U74" s="47"/>
      <c r="V74" s="47"/>
    </row>
    <row r="75" spans="3:22" x14ac:dyDescent="0.25"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51"/>
      <c r="R75" s="51"/>
      <c r="S75" s="51"/>
      <c r="T75" s="51"/>
      <c r="U75" s="47"/>
      <c r="V75" s="47"/>
    </row>
    <row r="76" spans="3:22" x14ac:dyDescent="0.25"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</row>
    <row r="77" spans="3:22" x14ac:dyDescent="0.25"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</row>
    <row r="78" spans="3:22" x14ac:dyDescent="0.25"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</row>
    <row r="79" spans="3:22" x14ac:dyDescent="0.25"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</row>
    <row r="80" spans="3:22" x14ac:dyDescent="0.25"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</row>
    <row r="81" spans="3:22" x14ac:dyDescent="0.25"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</row>
    <row r="82" spans="3:22" x14ac:dyDescent="0.25"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</row>
    <row r="83" spans="3:22" x14ac:dyDescent="0.25"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</row>
    <row r="84" spans="3:22" x14ac:dyDescent="0.25"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</row>
    <row r="85" spans="3:22" x14ac:dyDescent="0.25"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</row>
    <row r="86" spans="3:22" x14ac:dyDescent="0.25"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</row>
    <row r="87" spans="3:22" x14ac:dyDescent="0.25"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</row>
    <row r="88" spans="3:22" x14ac:dyDescent="0.25"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</row>
    <row r="89" spans="3:22" x14ac:dyDescent="0.25"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</row>
    <row r="90" spans="3:22" x14ac:dyDescent="0.25"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</row>
    <row r="91" spans="3:22" x14ac:dyDescent="0.25"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</row>
    <row r="92" spans="3:22" x14ac:dyDescent="0.25"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</row>
    <row r="93" spans="3:22" x14ac:dyDescent="0.25"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</row>
    <row r="94" spans="3:22" x14ac:dyDescent="0.25"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</row>
    <row r="95" spans="3:22" x14ac:dyDescent="0.25"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</row>
    <row r="96" spans="3:22" x14ac:dyDescent="0.25"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</row>
    <row r="97" spans="3:22" x14ac:dyDescent="0.25"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</row>
    <row r="98" spans="3:22" x14ac:dyDescent="0.25"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</row>
    <row r="99" spans="3:22" x14ac:dyDescent="0.25"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</row>
    <row r="100" spans="3:22" x14ac:dyDescent="0.25"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</row>
    <row r="101" spans="3:22" x14ac:dyDescent="0.25"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</row>
    <row r="102" spans="3:22" x14ac:dyDescent="0.25"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</row>
    <row r="103" spans="3:22" x14ac:dyDescent="0.25"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</row>
    <row r="104" spans="3:22" x14ac:dyDescent="0.25"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</row>
    <row r="105" spans="3:22" x14ac:dyDescent="0.25"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</row>
    <row r="106" spans="3:22" x14ac:dyDescent="0.25"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</row>
    <row r="107" spans="3:22" x14ac:dyDescent="0.25"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</row>
    <row r="108" spans="3:22" x14ac:dyDescent="0.25"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</row>
    <row r="109" spans="3:22" x14ac:dyDescent="0.25"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</row>
    <row r="110" spans="3:22" x14ac:dyDescent="0.25"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</row>
    <row r="111" spans="3:22" x14ac:dyDescent="0.25"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</row>
    <row r="112" spans="3:22" x14ac:dyDescent="0.25"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</row>
    <row r="113" spans="3:22" x14ac:dyDescent="0.25"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</row>
    <row r="114" spans="3:22" x14ac:dyDescent="0.25"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</row>
    <row r="115" spans="3:22" x14ac:dyDescent="0.25"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</row>
    <row r="116" spans="3:22" x14ac:dyDescent="0.25"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</row>
    <row r="117" spans="3:22" x14ac:dyDescent="0.25"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</row>
    <row r="118" spans="3:22" x14ac:dyDescent="0.25"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</row>
    <row r="119" spans="3:22" x14ac:dyDescent="0.25"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</row>
    <row r="120" spans="3:22" x14ac:dyDescent="0.25"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</row>
    <row r="121" spans="3:22" x14ac:dyDescent="0.25"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</row>
    <row r="122" spans="3:22" x14ac:dyDescent="0.25"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</row>
    <row r="123" spans="3:22" x14ac:dyDescent="0.25"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</row>
    <row r="124" spans="3:22" x14ac:dyDescent="0.25"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</row>
    <row r="125" spans="3:22" x14ac:dyDescent="0.25"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</row>
    <row r="126" spans="3:22" x14ac:dyDescent="0.25"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</row>
    <row r="127" spans="3:22" x14ac:dyDescent="0.25"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</row>
    <row r="128" spans="3:22" x14ac:dyDescent="0.25"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</row>
    <row r="129" spans="3:22" x14ac:dyDescent="0.25"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</row>
    <row r="130" spans="3:22" x14ac:dyDescent="0.25"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</row>
    <row r="131" spans="3:22" x14ac:dyDescent="0.25"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</row>
    <row r="132" spans="3:22" x14ac:dyDescent="0.25"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</row>
    <row r="133" spans="3:22" x14ac:dyDescent="0.25"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</row>
    <row r="134" spans="3:22" x14ac:dyDescent="0.25"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</row>
    <row r="135" spans="3:22" x14ac:dyDescent="0.25"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</row>
    <row r="136" spans="3:22" x14ac:dyDescent="0.25"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</row>
    <row r="137" spans="3:22" x14ac:dyDescent="0.25"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</row>
    <row r="138" spans="3:22" x14ac:dyDescent="0.25"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</row>
    <row r="139" spans="3:22" x14ac:dyDescent="0.25"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</row>
    <row r="140" spans="3:22" x14ac:dyDescent="0.25"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</row>
    <row r="141" spans="3:22" x14ac:dyDescent="0.25"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</row>
    <row r="142" spans="3:22" x14ac:dyDescent="0.25"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</row>
    <row r="143" spans="3:22" x14ac:dyDescent="0.25"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</row>
    <row r="144" spans="3:22" x14ac:dyDescent="0.25"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</row>
    <row r="145" spans="3:22" x14ac:dyDescent="0.25"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</row>
    <row r="146" spans="3:22" x14ac:dyDescent="0.25"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</row>
    <row r="147" spans="3:22" x14ac:dyDescent="0.25"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</row>
    <row r="148" spans="3:22" x14ac:dyDescent="0.25"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</row>
    <row r="149" spans="3:22" x14ac:dyDescent="0.25"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</row>
    <row r="150" spans="3:22" x14ac:dyDescent="0.25"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</row>
    <row r="151" spans="3:22" x14ac:dyDescent="0.25"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</row>
    <row r="152" spans="3:22" x14ac:dyDescent="0.25"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</row>
    <row r="153" spans="3:22" x14ac:dyDescent="0.25"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</row>
    <row r="154" spans="3:22" x14ac:dyDescent="0.25"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</row>
    <row r="155" spans="3:22" x14ac:dyDescent="0.25"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</row>
    <row r="156" spans="3:22" x14ac:dyDescent="0.25"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</row>
    <row r="157" spans="3:22" x14ac:dyDescent="0.25"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</row>
    <row r="158" spans="3:22" x14ac:dyDescent="0.25"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</row>
    <row r="159" spans="3:22" x14ac:dyDescent="0.25"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</row>
    <row r="160" spans="3:22" x14ac:dyDescent="0.25"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</row>
    <row r="161" spans="3:22" x14ac:dyDescent="0.25"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</row>
    <row r="162" spans="3:22" x14ac:dyDescent="0.25"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</row>
    <row r="163" spans="3:22" x14ac:dyDescent="0.25"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</row>
    <row r="164" spans="3:22" x14ac:dyDescent="0.25"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</row>
    <row r="165" spans="3:22" x14ac:dyDescent="0.25"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</row>
    <row r="166" spans="3:22" x14ac:dyDescent="0.25"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</row>
    <row r="167" spans="3:22" x14ac:dyDescent="0.25"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</row>
    <row r="168" spans="3:22" x14ac:dyDescent="0.25"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</row>
    <row r="169" spans="3:22" x14ac:dyDescent="0.25"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</row>
    <row r="170" spans="3:22" x14ac:dyDescent="0.25"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bestFit="true" customWidth="true" style="2" width="9.42578125" collapsed="true"/>
    <col min="2" max="2" bestFit="true" customWidth="true" style="2" width="6.42578125" collapsed="true"/>
    <col min="3" max="3" bestFit="true" customWidth="true" style="2" width="5.28515625" collapsed="true"/>
    <col min="4" max="4" bestFit="true" customWidth="true" style="2" width="10.85546875" collapsed="true"/>
    <col min="5" max="5" bestFit="true" customWidth="true" style="2" width="16.42578125" collapsed="true"/>
    <col min="6" max="6" bestFit="true" customWidth="true" style="2" width="12.7109375" collapsed="true"/>
    <col min="7" max="7" bestFit="true" customWidth="true" style="2" width="6.5703125" collapsed="true"/>
    <col min="8" max="8" bestFit="true" customWidth="true" style="2" width="12.0" collapsed="true"/>
    <col min="9" max="9" bestFit="true" customWidth="true" style="2" width="11.42578125" collapsed="true"/>
    <col min="10" max="10" bestFit="true" customWidth="true" style="2" width="12.42578125" collapsed="true"/>
    <col min="11" max="11" bestFit="true" customWidth="true" style="2" width="11.140625" collapsed="true"/>
    <col min="12" max="12" bestFit="true" customWidth="true" style="2" width="15.140625" collapsed="true"/>
    <col min="13" max="13" bestFit="true" customWidth="true" style="2" width="10.0" collapsed="true"/>
    <col min="14" max="14" bestFit="true" customWidth="true" style="2" width="10.28515625" collapsed="true"/>
    <col min="15" max="15" bestFit="true" customWidth="true" style="2" width="11.5703125" collapsed="true"/>
    <col min="16" max="16" bestFit="true" customWidth="true" style="2" width="12.140625" collapsed="true"/>
    <col min="17" max="17" bestFit="true" customWidth="true" style="2" width="11.42578125" collapsed="true"/>
    <col min="18" max="18" bestFit="true" customWidth="true" style="2" width="17.7109375" collapsed="true"/>
    <col min="19" max="19" bestFit="true" customWidth="true" style="2" width="12.0" collapsed="true"/>
    <col min="20" max="20" bestFit="true" customWidth="true" style="2" width="10.5703125" collapsed="true"/>
    <col min="21" max="16384" style="2" width="9.140625" collapsed="true"/>
  </cols>
  <sheetData>
    <row r="1" spans="1:21" ht="15.75" thickBot="1" x14ac:dyDescent="0.3">
      <c r="A1" s="17" t="s">
        <v>83</v>
      </c>
      <c r="B1"/>
      <c r="C1" s="97"/>
      <c r="D1" s="97"/>
      <c r="E1" s="97"/>
      <c r="H1" s="97"/>
      <c r="I1" s="97"/>
      <c r="J1" s="97"/>
      <c r="K1" s="97"/>
      <c r="L1" s="97"/>
      <c r="M1" s="97"/>
      <c r="N1" s="97"/>
      <c r="O1" s="97"/>
      <c r="P1" s="97"/>
      <c r="Q1" s="97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191</v>
      </c>
      <c r="D2" s="1" t="s">
        <v>192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7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0" t="s">
        <v>67</v>
      </c>
      <c r="C2" s="50" t="s">
        <v>193</v>
      </c>
      <c r="D2" s="50" t="s">
        <v>68</v>
      </c>
      <c r="E2" s="50" t="s">
        <v>69</v>
      </c>
      <c r="F2" s="50" t="s">
        <v>70</v>
      </c>
    </row>
    <row r="3" spans="1:6" x14ac:dyDescent="0.25">
      <c r="E3" s="51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7" width="48.5703125" collapsed="true"/>
    <col min="2" max="2" bestFit="true" customWidth="true" style="47" width="9.7109375" collapsed="true"/>
    <col min="3" max="3" bestFit="true" customWidth="true" style="47" width="8.5703125" collapsed="true"/>
    <col min="4" max="4" bestFit="true" customWidth="true" style="47" width="15.0" collapsed="true"/>
    <col min="5" max="5" bestFit="true" customWidth="true" style="47" width="8.0" collapsed="true"/>
    <col min="6" max="6" bestFit="true" customWidth="true" style="47" width="39.0" collapsed="true"/>
    <col min="7" max="7" bestFit="true" customWidth="true" style="47" width="17.7109375" collapsed="true"/>
    <col min="8" max="10" bestFit="true" customWidth="true" style="47" width="255.7109375" collapsed="true"/>
    <col min="11" max="11" bestFit="true" customWidth="true" style="47" width="18.28515625" collapsed="true"/>
    <col min="12" max="16384" style="47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7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bestFit="true" customWidth="true" style="5" width="9.42578125" collapsed="true"/>
    <col min="2" max="2" bestFit="true" customWidth="true" style="5" width="9.28515625" collapsed="true"/>
    <col min="3" max="3" bestFit="true" customWidth="true" style="5" width="10.42578125" collapsed="true"/>
    <col min="4" max="4" customWidth="true" style="5" width="99.85546875" collapsed="true"/>
    <col min="5" max="5" bestFit="true" customWidth="true" style="5" width="8.0" collapsed="true"/>
    <col min="6" max="6" bestFit="true" customWidth="true" style="5" width="10.7109375" collapsed="true"/>
    <col min="7" max="7" bestFit="true" customWidth="true" style="5" width="13.85546875" collapsed="true"/>
    <col min="8" max="8" customWidth="true" style="5" width="12.28515625" collapsed="true"/>
    <col min="9" max="10" bestFit="true" customWidth="true" style="5" width="10.85546875" collapsed="true"/>
    <col min="11" max="16384" style="5" width="9.140625" collapsed="true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187</v>
      </c>
      <c r="B3" s="3" t="s">
        <v>198</v>
      </c>
      <c r="C3" s="3" t="s">
        <v>217</v>
      </c>
      <c r="D3" s="3" t="s">
        <v>211</v>
      </c>
      <c r="E3" s="3"/>
      <c r="F3" s="3"/>
      <c r="G3" s="49" t="s">
        <v>189</v>
      </c>
      <c r="H3" s="49" t="s">
        <v>190</v>
      </c>
      <c r="I3" s="49" t="s">
        <v>194</v>
      </c>
    </row>
    <row r="4" spans="1:9" ht="15.75" thickTop="1" x14ac:dyDescent="0.25">
      <c r="A4" s="3" t="s">
        <v>187</v>
      </c>
      <c r="B4" s="3" t="s">
        <v>199</v>
      </c>
      <c r="C4" s="3" t="s">
        <v>218</v>
      </c>
      <c r="D4" s="3" t="s">
        <v>224</v>
      </c>
      <c r="E4" s="3"/>
      <c r="F4" s="3"/>
    </row>
    <row r="5" spans="1:9" x14ac:dyDescent="0.25">
      <c r="A5" s="3" t="s">
        <v>187</v>
      </c>
      <c r="B5" s="3" t="s">
        <v>200</v>
      </c>
      <c r="C5" s="3" t="s">
        <v>219</v>
      </c>
      <c r="D5" s="3" t="s">
        <v>225</v>
      </c>
      <c r="E5" s="3"/>
      <c r="F5" s="3"/>
    </row>
    <row r="6" spans="1:9" x14ac:dyDescent="0.25">
      <c r="A6" s="3" t="s">
        <v>187</v>
      </c>
      <c r="B6" s="3" t="s">
        <v>201</v>
      </c>
      <c r="C6" s="3" t="s">
        <v>220</v>
      </c>
      <c r="D6" s="3" t="s">
        <v>226</v>
      </c>
      <c r="E6" s="3"/>
      <c r="F6" s="3"/>
    </row>
    <row r="7" spans="1:9" x14ac:dyDescent="0.25">
      <c r="A7" s="3" t="s">
        <v>187</v>
      </c>
      <c r="B7" s="3" t="s">
        <v>172</v>
      </c>
      <c r="C7" s="3" t="s">
        <v>220</v>
      </c>
      <c r="D7" s="3" t="s">
        <v>212</v>
      </c>
      <c r="E7" s="3"/>
      <c r="F7" s="3"/>
    </row>
    <row r="8" spans="1:9" x14ac:dyDescent="0.25">
      <c r="A8" s="3" t="s">
        <v>187</v>
      </c>
      <c r="B8" s="3" t="s">
        <v>202</v>
      </c>
      <c r="C8" s="3" t="s">
        <v>220</v>
      </c>
      <c r="D8" s="3" t="s">
        <v>227</v>
      </c>
      <c r="E8" s="3"/>
      <c r="F8" s="3"/>
    </row>
    <row r="9" spans="1:9" x14ac:dyDescent="0.25">
      <c r="A9" s="3" t="s">
        <v>187</v>
      </c>
      <c r="B9" s="3" t="s">
        <v>201</v>
      </c>
      <c r="C9" s="3" t="s">
        <v>220</v>
      </c>
      <c r="D9" s="3" t="s">
        <v>228</v>
      </c>
      <c r="E9" s="3"/>
      <c r="F9" s="3"/>
    </row>
    <row r="10" spans="1:9" x14ac:dyDescent="0.25">
      <c r="A10" s="3" t="s">
        <v>187</v>
      </c>
      <c r="B10" s="3" t="s">
        <v>172</v>
      </c>
      <c r="C10" s="3" t="s">
        <v>220</v>
      </c>
      <c r="D10" s="3" t="s">
        <v>213</v>
      </c>
      <c r="E10" s="3"/>
      <c r="F10" s="3"/>
    </row>
    <row r="11" spans="1:9" x14ac:dyDescent="0.25">
      <c r="A11" s="3" t="s">
        <v>187</v>
      </c>
      <c r="B11" s="3" t="s">
        <v>203</v>
      </c>
      <c r="C11" s="3" t="s">
        <v>220</v>
      </c>
      <c r="D11" s="3" t="s">
        <v>229</v>
      </c>
      <c r="E11" s="3"/>
      <c r="F11" s="3"/>
    </row>
    <row r="12" spans="1:9" x14ac:dyDescent="0.25">
      <c r="A12" s="3" t="s">
        <v>187</v>
      </c>
      <c r="B12" s="3" t="s">
        <v>204</v>
      </c>
      <c r="C12" s="3" t="s">
        <v>220</v>
      </c>
      <c r="D12" s="3" t="s">
        <v>214</v>
      </c>
      <c r="E12" s="3"/>
      <c r="F12" s="3"/>
    </row>
    <row r="13" spans="1:9" x14ac:dyDescent="0.25">
      <c r="A13" s="3" t="s">
        <v>187</v>
      </c>
      <c r="B13" s="3" t="s">
        <v>172</v>
      </c>
      <c r="C13" s="3" t="s">
        <v>220</v>
      </c>
      <c r="D13" s="3" t="s">
        <v>215</v>
      </c>
      <c r="E13" s="3"/>
      <c r="F13" s="3"/>
    </row>
    <row r="14" spans="1:9" x14ac:dyDescent="0.25">
      <c r="A14" s="3" t="s">
        <v>187</v>
      </c>
      <c r="B14" s="3" t="s">
        <v>205</v>
      </c>
      <c r="C14" s="3" t="s">
        <v>220</v>
      </c>
      <c r="D14" s="3" t="s">
        <v>230</v>
      </c>
      <c r="E14" s="3"/>
      <c r="F14" s="3"/>
    </row>
    <row r="15" spans="1:9" x14ac:dyDescent="0.25">
      <c r="A15" s="3" t="s">
        <v>187</v>
      </c>
      <c r="B15" s="3" t="s">
        <v>206</v>
      </c>
      <c r="C15" s="3" t="s">
        <v>220</v>
      </c>
      <c r="D15" s="3" t="s">
        <v>231</v>
      </c>
      <c r="E15" s="3"/>
      <c r="F15" s="3"/>
    </row>
    <row r="16" spans="1:9" x14ac:dyDescent="0.25">
      <c r="A16" s="3" t="s">
        <v>187</v>
      </c>
      <c r="B16" s="3" t="s">
        <v>173</v>
      </c>
      <c r="C16" s="3" t="s">
        <v>220</v>
      </c>
      <c r="D16" s="3" t="s">
        <v>232</v>
      </c>
      <c r="E16" s="3"/>
      <c r="F16" s="3"/>
    </row>
    <row r="17" spans="1:6" x14ac:dyDescent="0.25">
      <c r="A17" s="3" t="s">
        <v>187</v>
      </c>
      <c r="B17" s="3" t="s">
        <v>173</v>
      </c>
      <c r="C17" s="3" t="s">
        <v>220</v>
      </c>
      <c r="D17" s="3" t="s">
        <v>216</v>
      </c>
      <c r="E17" s="3"/>
      <c r="F17" s="3"/>
    </row>
    <row r="18" spans="1:6" x14ac:dyDescent="0.25">
      <c r="A18" s="3" t="s">
        <v>187</v>
      </c>
      <c r="B18" s="3" t="s">
        <v>207</v>
      </c>
      <c r="C18" s="3" t="s">
        <v>221</v>
      </c>
      <c r="D18" s="3" t="s">
        <v>233</v>
      </c>
      <c r="E18" s="3"/>
      <c r="F18" s="3"/>
    </row>
    <row r="19" spans="1:6" x14ac:dyDescent="0.25">
      <c r="A19" s="3" t="s">
        <v>187</v>
      </c>
      <c r="B19" s="3" t="s">
        <v>175</v>
      </c>
      <c r="C19" s="3" t="s">
        <v>222</v>
      </c>
      <c r="D19" s="3" t="s">
        <v>234</v>
      </c>
      <c r="E19" s="3"/>
      <c r="F19" s="3"/>
    </row>
    <row r="20" spans="1:6" x14ac:dyDescent="0.25">
      <c r="A20" s="3" t="s">
        <v>187</v>
      </c>
      <c r="B20" s="3" t="s">
        <v>175</v>
      </c>
      <c r="C20" s="3" t="s">
        <v>222</v>
      </c>
      <c r="D20" s="3" t="s">
        <v>235</v>
      </c>
      <c r="E20" s="3"/>
      <c r="F20" s="3"/>
    </row>
    <row r="21" spans="1:6" x14ac:dyDescent="0.25">
      <c r="A21" s="3" t="s">
        <v>187</v>
      </c>
      <c r="B21" s="3" t="s">
        <v>175</v>
      </c>
      <c r="C21" s="3" t="s">
        <v>222</v>
      </c>
      <c r="D21" s="3" t="s">
        <v>236</v>
      </c>
      <c r="E21" s="3"/>
      <c r="F21" s="3"/>
    </row>
    <row r="22" spans="1:6" x14ac:dyDescent="0.25">
      <c r="A22" s="3" t="s">
        <v>187</v>
      </c>
      <c r="B22" s="3" t="s">
        <v>175</v>
      </c>
      <c r="C22" s="3" t="s">
        <v>222</v>
      </c>
      <c r="D22" s="3" t="s">
        <v>237</v>
      </c>
      <c r="E22" s="3"/>
      <c r="F22" s="3"/>
    </row>
    <row r="23" spans="1:6" x14ac:dyDescent="0.25">
      <c r="A23" s="3" t="s">
        <v>187</v>
      </c>
      <c r="B23" s="3" t="s">
        <v>175</v>
      </c>
      <c r="C23" s="3" t="s">
        <v>222</v>
      </c>
      <c r="D23" s="3" t="s">
        <v>238</v>
      </c>
      <c r="E23" s="3"/>
      <c r="F23" s="3"/>
    </row>
    <row r="24" spans="1:6" x14ac:dyDescent="0.25">
      <c r="A24" s="3" t="s">
        <v>187</v>
      </c>
      <c r="B24" s="3" t="s">
        <v>175</v>
      </c>
      <c r="C24" s="3" t="s">
        <v>222</v>
      </c>
      <c r="D24" s="3" t="s">
        <v>239</v>
      </c>
      <c r="E24" s="3"/>
      <c r="F24" s="3"/>
    </row>
    <row r="25" spans="1:6" x14ac:dyDescent="0.25">
      <c r="A25" s="3" t="s">
        <v>187</v>
      </c>
      <c r="B25" s="3" t="s">
        <v>175</v>
      </c>
      <c r="C25" s="3" t="s">
        <v>222</v>
      </c>
      <c r="D25" s="3" t="s">
        <v>240</v>
      </c>
      <c r="E25" s="3"/>
      <c r="F25" s="3"/>
    </row>
    <row r="26" spans="1:6" x14ac:dyDescent="0.25">
      <c r="A26" s="3" t="s">
        <v>187</v>
      </c>
      <c r="B26" s="3" t="s">
        <v>175</v>
      </c>
      <c r="C26" s="3" t="s">
        <v>222</v>
      </c>
      <c r="D26" s="3" t="s">
        <v>241</v>
      </c>
      <c r="E26" s="3"/>
      <c r="F26" s="3"/>
    </row>
    <row r="27" spans="1:6" x14ac:dyDescent="0.25">
      <c r="A27" s="3" t="s">
        <v>187</v>
      </c>
      <c r="B27" s="3" t="s">
        <v>175</v>
      </c>
      <c r="C27" s="3" t="s">
        <v>220</v>
      </c>
      <c r="D27" s="3" t="s">
        <v>242</v>
      </c>
      <c r="E27" s="3"/>
      <c r="F27" s="3"/>
    </row>
    <row r="28" spans="1:6" x14ac:dyDescent="0.25">
      <c r="A28" s="3" t="s">
        <v>187</v>
      </c>
      <c r="B28" s="3" t="s">
        <v>205</v>
      </c>
      <c r="C28" s="3" t="s">
        <v>220</v>
      </c>
      <c r="D28" s="3" t="s">
        <v>243</v>
      </c>
      <c r="E28" s="3"/>
      <c r="F28" s="3"/>
    </row>
    <row r="29" spans="1:6" x14ac:dyDescent="0.25">
      <c r="A29" s="3" t="s">
        <v>187</v>
      </c>
      <c r="B29" s="3" t="s">
        <v>205</v>
      </c>
      <c r="C29" s="3" t="s">
        <v>220</v>
      </c>
      <c r="D29" s="3" t="s">
        <v>244</v>
      </c>
      <c r="E29" s="3"/>
      <c r="F29" s="3"/>
    </row>
    <row r="30" spans="1:6" x14ac:dyDescent="0.25">
      <c r="A30" s="3" t="s">
        <v>187</v>
      </c>
      <c r="B30" s="3" t="s">
        <v>205</v>
      </c>
      <c r="C30" s="3" t="s">
        <v>220</v>
      </c>
      <c r="D30" s="3" t="s">
        <v>245</v>
      </c>
      <c r="E30" s="3"/>
      <c r="F30" s="3"/>
    </row>
    <row r="31" spans="1:6" x14ac:dyDescent="0.25">
      <c r="A31" s="3" t="s">
        <v>187</v>
      </c>
      <c r="B31" s="3" t="s">
        <v>205</v>
      </c>
      <c r="C31" s="3" t="s">
        <v>220</v>
      </c>
      <c r="D31" s="3" t="s">
        <v>246</v>
      </c>
      <c r="E31" s="3"/>
      <c r="F31" s="3"/>
    </row>
    <row r="32" spans="1:6" x14ac:dyDescent="0.25">
      <c r="A32" s="3" t="s">
        <v>187</v>
      </c>
      <c r="B32" s="3" t="s">
        <v>205</v>
      </c>
      <c r="C32" s="3" t="s">
        <v>220</v>
      </c>
      <c r="D32" s="3" t="s">
        <v>247</v>
      </c>
      <c r="E32" s="3"/>
      <c r="F32" s="3"/>
    </row>
    <row r="33" spans="1:6" x14ac:dyDescent="0.25">
      <c r="A33" s="3" t="s">
        <v>187</v>
      </c>
      <c r="B33" s="3" t="s">
        <v>205</v>
      </c>
      <c r="C33" s="3" t="s">
        <v>220</v>
      </c>
      <c r="D33" s="3" t="s">
        <v>248</v>
      </c>
      <c r="E33" s="3"/>
      <c r="F33" s="3"/>
    </row>
    <row r="34" spans="1:6" x14ac:dyDescent="0.25">
      <c r="A34" s="3" t="s">
        <v>187</v>
      </c>
      <c r="B34" s="3" t="s">
        <v>205</v>
      </c>
      <c r="C34" s="3" t="s">
        <v>220</v>
      </c>
      <c r="D34" s="3" t="s">
        <v>249</v>
      </c>
      <c r="E34" s="3"/>
      <c r="F34" s="3"/>
    </row>
    <row r="35" spans="1:6" x14ac:dyDescent="0.25">
      <c r="A35" s="3" t="s">
        <v>187</v>
      </c>
      <c r="B35" s="3" t="s">
        <v>175</v>
      </c>
      <c r="C35" s="3" t="s">
        <v>222</v>
      </c>
      <c r="D35" s="3" t="s">
        <v>250</v>
      </c>
      <c r="E35" s="3"/>
      <c r="F35" s="3"/>
    </row>
    <row r="36" spans="1:6" x14ac:dyDescent="0.25">
      <c r="A36" s="3" t="s">
        <v>187</v>
      </c>
      <c r="B36" s="3" t="s">
        <v>175</v>
      </c>
      <c r="C36" s="3" t="s">
        <v>222</v>
      </c>
      <c r="D36" s="3" t="s">
        <v>251</v>
      </c>
      <c r="E36" s="3"/>
      <c r="F36" s="3"/>
    </row>
    <row r="37" spans="1:6" x14ac:dyDescent="0.25">
      <c r="A37" s="3" t="s">
        <v>187</v>
      </c>
      <c r="B37" s="3" t="s">
        <v>175</v>
      </c>
      <c r="C37" s="3" t="s">
        <v>222</v>
      </c>
      <c r="D37" s="3" t="s">
        <v>252</v>
      </c>
      <c r="E37" s="3"/>
      <c r="F37" s="3"/>
    </row>
    <row r="38" spans="1:6" x14ac:dyDescent="0.25">
      <c r="A38" s="3" t="s">
        <v>187</v>
      </c>
      <c r="B38" s="3" t="s">
        <v>175</v>
      </c>
      <c r="C38" s="3" t="s">
        <v>222</v>
      </c>
      <c r="D38" s="3" t="s">
        <v>253</v>
      </c>
      <c r="E38" s="3"/>
      <c r="F38" s="3"/>
    </row>
    <row r="39" spans="1:6" x14ac:dyDescent="0.25">
      <c r="A39" s="3" t="s">
        <v>187</v>
      </c>
      <c r="B39" s="3" t="s">
        <v>175</v>
      </c>
      <c r="C39" s="3" t="s">
        <v>222</v>
      </c>
      <c r="D39" s="3" t="s">
        <v>254</v>
      </c>
      <c r="E39" s="3"/>
      <c r="F39" s="3"/>
    </row>
    <row r="40" spans="1:6" x14ac:dyDescent="0.25">
      <c r="A40" s="3" t="s">
        <v>187</v>
      </c>
      <c r="B40" s="3" t="s">
        <v>175</v>
      </c>
      <c r="C40" s="3" t="s">
        <v>222</v>
      </c>
      <c r="D40" s="3" t="s">
        <v>255</v>
      </c>
      <c r="E40" s="3"/>
      <c r="F40" s="3"/>
    </row>
    <row r="41" spans="1:6" x14ac:dyDescent="0.25">
      <c r="A41" s="3" t="s">
        <v>187</v>
      </c>
      <c r="B41" s="3" t="s">
        <v>175</v>
      </c>
      <c r="C41" s="3" t="s">
        <v>222</v>
      </c>
      <c r="D41" s="3" t="s">
        <v>256</v>
      </c>
      <c r="E41" s="3"/>
      <c r="F41" s="3"/>
    </row>
    <row r="42" spans="1:6" x14ac:dyDescent="0.25">
      <c r="A42" s="3" t="s">
        <v>187</v>
      </c>
      <c r="B42" s="3" t="s">
        <v>175</v>
      </c>
      <c r="C42" s="3" t="s">
        <v>218</v>
      </c>
      <c r="D42" s="3" t="s">
        <v>257</v>
      </c>
      <c r="E42" s="3"/>
      <c r="F42" s="3"/>
    </row>
    <row r="43" spans="1:6" x14ac:dyDescent="0.25">
      <c r="A43" s="3" t="s">
        <v>187</v>
      </c>
      <c r="B43" s="3" t="s">
        <v>175</v>
      </c>
      <c r="C43" s="3" t="s">
        <v>218</v>
      </c>
      <c r="D43" s="3" t="s">
        <v>258</v>
      </c>
      <c r="E43" s="3"/>
      <c r="F43" s="3"/>
    </row>
    <row r="44" spans="1:6" x14ac:dyDescent="0.25">
      <c r="A44" s="3" t="s">
        <v>187</v>
      </c>
      <c r="B44" s="3" t="s">
        <v>175</v>
      </c>
      <c r="C44" s="3" t="s">
        <v>218</v>
      </c>
      <c r="D44" s="3" t="s">
        <v>259</v>
      </c>
      <c r="E44" s="3"/>
      <c r="F44" s="3"/>
    </row>
    <row r="45" spans="1:6" x14ac:dyDescent="0.25">
      <c r="A45" s="3" t="s">
        <v>187</v>
      </c>
      <c r="B45" s="3" t="s">
        <v>175</v>
      </c>
      <c r="C45" s="3" t="s">
        <v>218</v>
      </c>
      <c r="D45" s="3" t="s">
        <v>260</v>
      </c>
      <c r="E45" s="3"/>
      <c r="F45" s="3"/>
    </row>
    <row r="46" spans="1:6" x14ac:dyDescent="0.25">
      <c r="A46" s="3" t="s">
        <v>187</v>
      </c>
      <c r="B46" s="3" t="s">
        <v>175</v>
      </c>
      <c r="C46" s="3" t="s">
        <v>218</v>
      </c>
      <c r="D46" s="3" t="s">
        <v>261</v>
      </c>
      <c r="E46" s="3"/>
      <c r="F46" s="3"/>
    </row>
    <row r="47" spans="1:6" x14ac:dyDescent="0.25">
      <c r="A47" s="3" t="s">
        <v>187</v>
      </c>
      <c r="B47" s="3" t="s">
        <v>175</v>
      </c>
      <c r="C47" s="3" t="s">
        <v>218</v>
      </c>
      <c r="D47" s="3" t="s">
        <v>262</v>
      </c>
      <c r="E47" s="3"/>
      <c r="F47" s="3"/>
    </row>
    <row r="48" spans="1:6" x14ac:dyDescent="0.25">
      <c r="A48" s="3" t="s">
        <v>187</v>
      </c>
      <c r="B48" s="3" t="s">
        <v>206</v>
      </c>
      <c r="C48" s="3" t="s">
        <v>220</v>
      </c>
      <c r="D48" s="3" t="s">
        <v>263</v>
      </c>
      <c r="E48" s="3"/>
      <c r="F48" s="3"/>
    </row>
    <row r="49" spans="1:6" x14ac:dyDescent="0.25">
      <c r="A49" s="3" t="s">
        <v>187</v>
      </c>
      <c r="B49" s="3" t="s">
        <v>208</v>
      </c>
      <c r="C49" s="3" t="s">
        <v>220</v>
      </c>
      <c r="D49" s="3" t="s">
        <v>264</v>
      </c>
      <c r="E49" s="3"/>
      <c r="F49" s="3"/>
    </row>
    <row r="50" spans="1:6" x14ac:dyDescent="0.25">
      <c r="A50" s="3" t="s">
        <v>187</v>
      </c>
      <c r="B50" s="3" t="s">
        <v>175</v>
      </c>
      <c r="C50" s="3" t="s">
        <v>218</v>
      </c>
      <c r="D50" s="3" t="s">
        <v>265</v>
      </c>
      <c r="E50" s="3"/>
      <c r="F50" s="3"/>
    </row>
    <row r="51" spans="1:6" x14ac:dyDescent="0.25">
      <c r="A51" s="3" t="s">
        <v>187</v>
      </c>
      <c r="B51" s="3" t="s">
        <v>209</v>
      </c>
      <c r="C51" s="3" t="s">
        <v>220</v>
      </c>
      <c r="D51" s="3" t="s">
        <v>266</v>
      </c>
      <c r="E51" s="3"/>
      <c r="F51" s="3"/>
    </row>
    <row r="52" spans="1:6" x14ac:dyDescent="0.25">
      <c r="A52" s="3" t="s">
        <v>187</v>
      </c>
      <c r="B52" s="3" t="s">
        <v>210</v>
      </c>
      <c r="C52" s="3" t="s">
        <v>217</v>
      </c>
      <c r="D52" s="3" t="s">
        <v>223</v>
      </c>
      <c r="E52" s="3"/>
      <c r="F52" s="3"/>
    </row>
    <row r="53" spans="1:6" x14ac:dyDescent="0.25">
      <c r="A53" s="3" t="s">
        <v>187</v>
      </c>
      <c r="B53" s="3" t="s">
        <v>175</v>
      </c>
      <c r="C53" s="3" t="s">
        <v>218</v>
      </c>
      <c r="D53" s="3" t="s">
        <v>267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bestFit="true" customWidth="true" style="2" width="9.28515625" collapsed="true"/>
    <col min="2" max="2" bestFit="true" customWidth="true" style="2" width="13.140625" collapsed="true"/>
    <col min="3" max="4" customWidth="true" style="2" width="101.0" collapsed="true"/>
    <col min="5" max="9" style="2" width="9.140625" collapsed="true"/>
    <col min="10" max="10" bestFit="true" customWidth="true" style="2" width="113.42578125" collapsed="true"/>
    <col min="11" max="16384" style="2" width="9.140625" collapsed="true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187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187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187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187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187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187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187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187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187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187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187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187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187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187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187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187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187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187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187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187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187</v>
      </c>
      <c r="B23" s="48" t="s">
        <v>188</v>
      </c>
      <c r="C23" s="48"/>
      <c r="D23" s="48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6" t="s">
        <v>185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Status repot</vt:lpstr>
      <vt:lpstr>pk_check_package before</vt:lpstr>
      <vt:lpstr>Patch list</vt:lpstr>
      <vt:lpstr>DB member list</vt:lpstr>
      <vt:lpstr>TFT op.</vt:lpstr>
      <vt:lpstr>List Of Synergy Objects</vt:lpstr>
      <vt:lpstr>DB tables impactes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Kokobe Bineyam</cp:lastModifiedBy>
  <dcterms:modified xsi:type="dcterms:W3CDTF">2016-04-04T20:20:13Z</dcterms:modified>
</cp:coreProperties>
</file>
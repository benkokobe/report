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openxmlformats-officedocument.spreadsheetml.externalLink+xml" PartName="/xl/externalLinks/externalLink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645" windowWidth="18840" windowHeight="6315" tabRatio="947" firstSheet="1" activeTab="1"/>
  </bookViews>
  <sheets>
    <sheet name="Summary" sheetId="1" r:id="rId1"/>
    <sheet name="Status repot" sheetId="31" r:id="rId2"/>
    <sheet name="pk_check_package before" sheetId="3" r:id="rId3"/>
    <sheet name="Patch list" sheetId="27" r:id="rId4"/>
    <sheet name="DB member list" sheetId="28" r:id="rId5"/>
    <sheet name="TFT op." sheetId="29" r:id="rId6"/>
    <sheet name="List Of Synergy Objects" sheetId="30" r:id="rId7"/>
    <sheet name="DB tables impactes" sheetId="20" r:id="rId8"/>
    <sheet name="Syn Conflicts" sheetId="6" r:id="rId9"/>
    <sheet name="DB conflicts" sheetId="4" r:id="rId10"/>
    <sheet name="TOS-Error" sheetId="8" r:id="rId11"/>
    <sheet name="pk_check_package after" sheetId="26" r:id="rId12"/>
    <sheet name="myStatus" sheetId="13" r:id="rId13"/>
  </sheets>
  <externalReferences>
    <externalReference r:id="rId14"/>
  </externalReferences>
  <definedNames>
    <definedName name="_xlnm._FilterDatabase" localSheetId="4" hidden="1">'DB member list'!$A$1:$G$1</definedName>
    <definedName name="_xlnm._FilterDatabase" localSheetId="7" hidden="1">'DB tables impactes'!$A$1:$C$1</definedName>
    <definedName name="_xlnm._FilterDatabase" localSheetId="6" hidden="1">'List Of Synergy Objects'!$A$1:$F$1</definedName>
    <definedName name="_xlnm._FilterDatabase" localSheetId="3" hidden="1">'Patch list'!$A$1:$G$1</definedName>
    <definedName name="_xlnm._FilterDatabase" localSheetId="11" hidden="1">'pk_check_package after'!$A$1:$L$60</definedName>
    <definedName name="_xlnm._FilterDatabase" localSheetId="2" hidden="1">'pk_check_package before'!$A$1:$L$60</definedName>
    <definedName name="_xlnm._FilterDatabase" localSheetId="0" hidden="1">Summary!$A$14:$F$38</definedName>
    <definedName name="_xlnm._FilterDatabase" localSheetId="8" hidden="1">'Syn Conflicts'!$A$1:$V$170</definedName>
    <definedName name="_xlnm._FilterDatabase" localSheetId="5" hidden="1">'TFT op.'!$A$1:$S$1</definedName>
    <definedName name="Z_11DA137D_FA21_4924_8652_5200ADF70677_.wvu.FilterData" localSheetId="11" hidden="1">'pk_check_package after'!$B$1:$K$127</definedName>
    <definedName name="Z_11DA137D_FA21_4924_8652_5200ADF70677_.wvu.FilterData" localSheetId="2" hidden="1">'pk_check_package before'!$B$1:$K$127</definedName>
    <definedName name="Z_11DA137D_FA21_4924_8652_5200ADF70677_.wvu.FilterData" localSheetId="0" hidden="1">Summary!$A$14:$F$14</definedName>
  </definedNames>
  <calcPr calcId="145621"/>
  <customWorkbookViews>
    <customWorkbookView name="Thomas De Roy - Personal View" guid="{11DA137D-FA21-4924-8652-5200ADF70677}" mergeInterval="0" personalView="1" maximized="1" windowWidth="1676" windowHeight="803" tabRatio="864" activeSheetId="14"/>
  </customWorkbookViews>
</workbook>
</file>

<file path=xl/calcChain.xml><?xml version="1.0" encoding="utf-8"?>
<calcChain xmlns="http://schemas.openxmlformats.org/spreadsheetml/2006/main">
  <c r="A13" i="1" l="1"/>
  <c r="C41" i="1" l="1"/>
  <c r="C40" i="1"/>
  <c r="C38" i="1"/>
  <c r="C37" i="1"/>
  <c r="C36" i="1"/>
  <c r="C35" i="1"/>
  <c r="C34" i="1"/>
  <c r="C33" i="1"/>
  <c r="C32" i="1"/>
  <c r="C31" i="1"/>
  <c r="C30" i="1"/>
  <c r="C29" i="1"/>
  <c r="C20" i="1"/>
  <c r="C26" i="1"/>
  <c r="C25" i="1"/>
  <c r="C23" i="1"/>
  <c r="C19" i="1"/>
  <c r="C24" i="1"/>
</calcChain>
</file>

<file path=xl/comments1.xml><?xml version="1.0" encoding="utf-8"?>
<comments xmlns="http://schemas.openxmlformats.org/spreadsheetml/2006/main">
  <authors>
    <author>Thomas De Roy</author>
  </authors>
  <commentList>
    <comment ref="C15" authorId="0">
      <text>
        <r>
          <rPr>
            <b/>
            <sz val="9"/>
            <color indexed="81"/>
            <rFont val="Tahoma"/>
            <family val="2"/>
          </rPr>
          <t xml:space="preserve">
List of patches can be get by using the repport 4 in change.
SQL or CCM queries can be used to manage manually the list.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<sst xmlns="http://schemas.openxmlformats.org/spreadsheetml/2006/main" count="977" uniqueCount="323">
  <si>
    <t>Todo</t>
  </si>
  <si>
    <t>WIP</t>
  </si>
  <si>
    <t>Done</t>
  </si>
  <si>
    <t>Status</t>
  </si>
  <si>
    <t>Synopsis</t>
  </si>
  <si>
    <t>Steps</t>
  </si>
  <si>
    <t>Bypass</t>
  </si>
  <si>
    <t>Comments</t>
  </si>
  <si>
    <t>Patch</t>
  </si>
  <si>
    <t>Rule Number</t>
  </si>
  <si>
    <t>Rule Category</t>
  </si>
  <si>
    <t>Rule Short Label</t>
  </si>
  <si>
    <t>Rule Severity</t>
  </si>
  <si>
    <t>Error Description</t>
  </si>
  <si>
    <t>Action to do</t>
  </si>
  <si>
    <t>Rule Explanation</t>
  </si>
  <si>
    <t>#Operation order</t>
  </si>
  <si>
    <t>Transfer type</t>
  </si>
  <si>
    <t>Group name</t>
  </si>
  <si>
    <t>Source type</t>
  </si>
  <si>
    <t>Source name</t>
  </si>
  <si>
    <t>Action type</t>
  </si>
  <si>
    <t>Patch reference</t>
  </si>
  <si>
    <t>Patch title</t>
  </si>
  <si>
    <t>Developer</t>
  </si>
  <si>
    <t>Patch status</t>
  </si>
  <si>
    <t>Description1</t>
  </si>
  <si>
    <t>Conflict ref.</t>
  </si>
  <si>
    <t>Conflict title</t>
  </si>
  <si>
    <t>Conflict developer</t>
  </si>
  <si>
    <t>#ID</t>
  </si>
  <si>
    <t>Project</t>
  </si>
  <si>
    <t>File</t>
  </si>
  <si>
    <t>Conflict type</t>
  </si>
  <si>
    <t>Task</t>
  </si>
  <si>
    <t>Merge already done</t>
  </si>
  <si>
    <t>Patch synopsis</t>
  </si>
  <si>
    <t>Patch Owner</t>
  </si>
  <si>
    <t>Used file</t>
  </si>
  <si>
    <t>Used task</t>
  </si>
  <si>
    <t>Used Patch</t>
  </si>
  <si>
    <t>Used Patch synopsis</t>
  </si>
  <si>
    <t>Used Patch status</t>
  </si>
  <si>
    <t>Used Patch owner</t>
  </si>
  <si>
    <t>STEP</t>
  </si>
  <si>
    <t>CMD</t>
  </si>
  <si>
    <t>ERROR</t>
  </si>
  <si>
    <t>COMMENT</t>
  </si>
  <si>
    <t>Risk</t>
  </si>
  <si>
    <t>Low</t>
  </si>
  <si>
    <t>BKO</t>
  </si>
  <si>
    <t>Medium</t>
  </si>
  <si>
    <t>High</t>
  </si>
  <si>
    <t>Group</t>
  </si>
  <si>
    <t>Environment</t>
  </si>
  <si>
    <t>Summary</t>
  </si>
  <si>
    <t>BD</t>
  </si>
  <si>
    <t>Comment</t>
  </si>
  <si>
    <t>From</t>
  </si>
  <si>
    <t>To</t>
  </si>
  <si>
    <t>Risks</t>
  </si>
  <si>
    <t>Due Date</t>
  </si>
  <si>
    <t>Begin</t>
  </si>
  <si>
    <t>End</t>
  </si>
  <si>
    <t>DR Name</t>
  </si>
  <si>
    <t>Starting</t>
  </si>
  <si>
    <t>Ending</t>
  </si>
  <si>
    <t>Making list of patches</t>
  </si>
  <si>
    <t>Check packaging on source environment</t>
  </si>
  <si>
    <t>Check of extra change</t>
  </si>
  <si>
    <t>Members check by flattening</t>
  </si>
  <si>
    <t>Check Packaging on destination environment</t>
  </si>
  <si>
    <t>TYPE</t>
  </si>
  <si>
    <t>Preparation</t>
  </si>
  <si>
    <t>PACK</t>
  </si>
  <si>
    <t>SYNERGY</t>
  </si>
  <si>
    <t>CONFIG</t>
  </si>
  <si>
    <t>DB</t>
  </si>
  <si>
    <t>BUILD</t>
  </si>
  <si>
    <t>Quality Check</t>
  </si>
  <si>
    <t>Generate the TOS</t>
  </si>
  <si>
    <t xml:space="preserve"> Generate the TF packages using the Flattening</t>
  </si>
  <si>
    <t xml:space="preserve"> Perform the manual actions before the execution of the TOS</t>
  </si>
  <si>
    <t>Backup of the tables impacted by the TF operations (list_steps.csv)</t>
  </si>
  <si>
    <t>CR ID of the DR</t>
  </si>
  <si>
    <t>TOS pack</t>
  </si>
  <si>
    <t>Perform the manual actions before compilations</t>
  </si>
  <si>
    <t>Perform the manual actions after compilations/deployment</t>
  </si>
  <si>
    <t>comment</t>
  </si>
  <si>
    <t>todo</t>
  </si>
  <si>
    <t>RESP</t>
  </si>
  <si>
    <t>Companies</t>
  </si>
  <si>
    <t>Substep</t>
  </si>
  <si>
    <t>no</t>
  </si>
  <si>
    <t>zOS dst</t>
  </si>
  <si>
    <t>zOS src</t>
  </si>
  <si>
    <t>Synopsis here</t>
  </si>
  <si>
    <t>From here</t>
  </si>
  <si>
    <t>To here</t>
  </si>
  <si>
    <t>PACK-XXX-XXXX</t>
  </si>
  <si>
    <t>REFPAT</t>
  </si>
  <si>
    <t>STAPAT</t>
  </si>
  <si>
    <t>NOMGRP</t>
  </si>
  <si>
    <t>TYPEVL</t>
  </si>
  <si>
    <t>SUBJECT</t>
  </si>
  <si>
    <t>SYNOPSIS</t>
  </si>
  <si>
    <t>NOMMBR</t>
  </si>
  <si>
    <t>TYPMBR</t>
  </si>
  <si>
    <t>TYPACT</t>
  </si>
  <si>
    <t>REFLOT</t>
  </si>
  <si>
    <t>STPALL</t>
  </si>
  <si>
    <t>ORDOPN</t>
  </si>
  <si>
    <t>REFMAI</t>
  </si>
  <si>
    <t>NUMSTP</t>
  </si>
  <si>
    <t>NUMTFT</t>
  </si>
  <si>
    <t>TYPTFT</t>
  </si>
  <si>
    <t>TYPOPN</t>
  </si>
  <si>
    <t>SWIMAN</t>
  </si>
  <si>
    <t>VERNUM</t>
  </si>
  <si>
    <t>SWIMLT</t>
  </si>
  <si>
    <t>SWICHK</t>
  </si>
  <si>
    <t>BYPASS</t>
  </si>
  <si>
    <t>IDTENT</t>
  </si>
  <si>
    <t>ITTCMD</t>
  </si>
  <si>
    <t>STATUS</t>
  </si>
  <si>
    <t>task</t>
  </si>
  <si>
    <t>type</t>
  </si>
  <si>
    <t>object</t>
  </si>
  <si>
    <t>version</t>
  </si>
  <si>
    <t>instance</t>
  </si>
  <si>
    <t>PNG--&gt;TNG</t>
  </si>
  <si>
    <t>Date</t>
  </si>
  <si>
    <t>TNG</t>
  </si>
  <si>
    <t>PACK-PNG-0034</t>
  </si>
  <si>
    <t>DR closure</t>
  </si>
  <si>
    <t xml:space="preserve">Up </t>
  </si>
  <si>
    <t>P</t>
  </si>
  <si>
    <t>Check conflict status on TNG ( prior to release)</t>
  </si>
  <si>
    <t>Up</t>
  </si>
  <si>
    <t>Start synergy release (till update)</t>
  </si>
  <si>
    <t>Conflict detection</t>
  </si>
  <si>
    <t>Conflict resolution</t>
  </si>
  <si>
    <t>Synchronize TST work area</t>
  </si>
  <si>
    <t>Manual operation before TOS</t>
  </si>
  <si>
    <t xml:space="preserve">P - order ( YE update) </t>
  </si>
  <si>
    <t>Deployment of sources*</t>
  </si>
  <si>
    <t>TOS execution</t>
  </si>
  <si>
    <t>Manual operation after TOS</t>
  </si>
  <si>
    <t>Build v2</t>
  </si>
  <si>
    <t>Build NG</t>
  </si>
  <si>
    <t>(Fix build issues)</t>
  </si>
  <si>
    <t>Deployment of V3 on TNG</t>
  </si>
  <si>
    <t>Environment available for testing</t>
  </si>
  <si>
    <t>POST</t>
  </si>
  <si>
    <t>PRG-TST</t>
  </si>
  <si>
    <t>TST</t>
  </si>
  <si>
    <t>PACK-PRG-0006</t>
  </si>
  <si>
    <t>Create TOS - operation transfer</t>
  </si>
  <si>
    <t>O</t>
  </si>
  <si>
    <t xml:space="preserve">Deployment of sources </t>
  </si>
  <si>
    <t>Extract to DSL</t>
  </si>
  <si>
    <t>Deployment to TST</t>
  </si>
  <si>
    <t>Down</t>
  </si>
  <si>
    <t>Crelan</t>
  </si>
  <si>
    <t>EVI-2 - Release 1.0 to TST</t>
  </si>
  <si>
    <t>New groups</t>
  </si>
  <si>
    <t>Add-ons</t>
  </si>
  <si>
    <t>Project spec</t>
  </si>
  <si>
    <t xml:space="preserve">SaaS-Release-20160219 </t>
  </si>
  <si>
    <t>PACK-PRG-XXXX</t>
  </si>
  <si>
    <t>Compare templates</t>
  </si>
  <si>
    <t>deploy templates on bld evitst eviacp eviexp ewubtst ewubacp ewubexp</t>
  </si>
  <si>
    <t>Steform import parsers</t>
  </si>
  <si>
    <t>Upgrade - Deployment of TST</t>
  </si>
  <si>
    <t>Saas</t>
  </si>
  <si>
    <t>Task ( Release - 20160316)</t>
  </si>
  <si>
    <t>PACK-PRG-0040</t>
  </si>
  <si>
    <t>Start synergy release</t>
  </si>
  <si>
    <t>Deployment of sources</t>
  </si>
  <si>
    <t>TOS execution H order</t>
  </si>
  <si>
    <t>TOS execution U order( HD upgrade)</t>
  </si>
  <si>
    <t>TOS execution T order ( DB members transfer)</t>
  </si>
  <si>
    <t>TOS execution A order</t>
  </si>
  <si>
    <t>Deployment of V3 on TST</t>
  </si>
  <si>
    <t>MEMBER TYPE</t>
  </si>
  <si>
    <t>TABLE</t>
  </si>
  <si>
    <t>PRG</t>
  </si>
  <si>
    <t>BLD</t>
  </si>
  <si>
    <t>ACC</t>
  </si>
  <si>
    <t>EXP</t>
  </si>
  <si>
    <t>PACK-PRG-0033</t>
  </si>
  <si>
    <t xml:space="preserve">[dr] Release 20141107 [hotfix] </t>
  </si>
  <si>
    <t>PSAPRG</t>
  </si>
  <si>
    <t>PSABLD</t>
  </si>
  <si>
    <t>Z00972</t>
  </si>
  <si>
    <t>patch_reviewed</t>
  </si>
  <si>
    <t>2XXFW</t>
  </si>
  <si>
    <t>Adaptation for external development</t>
  </si>
  <si>
    <t>PSA-GAP</t>
  </si>
  <si>
    <t xml:space="preserve">[patch] ITF-001 - GL interface - Missing movement in case of interest calculation with complementary date </t>
  </si>
  <si>
    <t>Z00974</t>
  </si>
  <si>
    <t>PG</t>
  </si>
  <si>
    <t>Bug</t>
  </si>
  <si>
    <t>PSA-HOTFIX</t>
  </si>
  <si>
    <t xml:space="preserve">[patch] PSA000049                                                                                                                         </t>
  </si>
  <si>
    <t>ZXT002</t>
  </si>
  <si>
    <t>08</t>
  </si>
  <si>
    <t>2</t>
  </si>
  <si>
    <t>ZPR10507/CWDE2/CH/01/000100S00S00000000000</t>
  </si>
  <si>
    <t>JR</t>
  </si>
  <si>
    <t>1</t>
  </si>
  <si>
    <t>M-ZPR105R</t>
  </si>
  <si>
    <t>0J</t>
  </si>
  <si>
    <t>ZPR105R</t>
  </si>
  <si>
    <t>05</t>
  </si>
  <si>
    <t>ZPR105C</t>
  </si>
  <si>
    <t>02</t>
  </si>
  <si>
    <t>H11/COHBIZ</t>
  </si>
  <si>
    <t>11</t>
  </si>
  <si>
    <t>H13/012500-00500000</t>
  </si>
  <si>
    <t>ZPR10501</t>
  </si>
  <si>
    <t>12</t>
  </si>
  <si>
    <t>ZPR10504</t>
  </si>
  <si>
    <t>ZPR10505</t>
  </si>
  <si>
    <t>ZPR10506</t>
  </si>
  <si>
    <t>ZPR10507</t>
  </si>
  <si>
    <t>ZPR10501/CWDE2/CH/01/000100S00S00000000000</t>
  </si>
  <si>
    <t>ZPR10504/CWDE2/CH/01/000100S00S00000000000</t>
  </si>
  <si>
    <t>ZPR10505/CWDE2/CH/01/000100S00S00000000000</t>
  </si>
  <si>
    <t>ZPR10506/CWDE2/CH/01/000100S00S00000000000</t>
  </si>
  <si>
    <t>L-ZPR105R</t>
  </si>
  <si>
    <t>M-PGRCR</t>
  </si>
  <si>
    <t>000531BF</t>
  </si>
  <si>
    <t>000010</t>
  </si>
  <si>
    <t>000000</t>
  </si>
  <si>
    <t>NUMTFT-not-added</t>
  </si>
  <si>
    <t xml:space="preserve"> </t>
  </si>
  <si>
    <t>SVRCFG</t>
  </si>
  <si>
    <t>N</t>
  </si>
  <si>
    <t>BESZ</t>
  </si>
  <si>
    <t>YF</t>
  </si>
  <si>
    <t>pk_checkTfMbr -o ./list_mbr_notTf.csv ya ./list_mbr.csv</t>
  </si>
  <si>
    <t>000020</t>
  </si>
  <si>
    <t>SVRBIN</t>
  </si>
  <si>
    <t>NT</t>
  </si>
  <si>
    <t>pk_checkTfMbr -o ./list_mbr_nt.csv nt ./list_mbr.csv</t>
  </si>
  <si>
    <t>000030</t>
  </si>
  <si>
    <t>Y</t>
  </si>
  <si>
    <t>Disable the Thaler BAS/FAS caches (JMX:cacheBean:disableAllCaches)</t>
  </si>
  <si>
    <t>000040</t>
  </si>
  <si>
    <t>DBDATA</t>
  </si>
  <si>
    <t>BES</t>
  </si>
  <si>
    <t>pk_update &lt;NBRSOC&gt; CWD92 "delete from cwd92"</t>
  </si>
  <si>
    <t>000050</t>
  </si>
  <si>
    <t>pk_cache BES disable</t>
  </si>
  <si>
    <t>000060</t>
  </si>
  <si>
    <t>DP</t>
  </si>
  <si>
    <t>DB-U</t>
  </si>
  <si>
    <t>pk_importDP -d ./DP</t>
  </si>
  <si>
    <t>000070</t>
  </si>
  <si>
    <t>pk_importDD -d ./DD</t>
  </si>
  <si>
    <t>000080</t>
  </si>
  <si>
    <t>SECU3</t>
  </si>
  <si>
    <t>pk_cm_generate_dba -c</t>
  </si>
  <si>
    <t>000120</t>
  </si>
  <si>
    <t>U</t>
  </si>
  <si>
    <t>pk_cm_generate_dba PACK-PRG-0033 TOS-000531BF U</t>
  </si>
  <si>
    <t>000130</t>
  </si>
  <si>
    <t>Check and execute the DBA run sheet $proc/cr_create/dba.PACK-PRG-0033.TOS-000531BF.S.U.runsheet.txt</t>
  </si>
  <si>
    <t>000140</t>
  </si>
  <si>
    <t>A</t>
  </si>
  <si>
    <t>pk_insert_in_server ZPR105R</t>
  </si>
  <si>
    <t>000150</t>
  </si>
  <si>
    <t>pk_genCopy -e ZPR105C</t>
  </si>
  <si>
    <t>000250</t>
  </si>
  <si>
    <t>000230</t>
  </si>
  <si>
    <t>BESU</t>
  </si>
  <si>
    <t>pk_check_upgrade</t>
  </si>
  <si>
    <t>000260</t>
  </si>
  <si>
    <t>000240</t>
  </si>
  <si>
    <t>pk_submit -y CHKUPGD &lt;NBRSOC&gt;</t>
  </si>
  <si>
    <t>000270</t>
  </si>
  <si>
    <t>pk_cache BES enable</t>
  </si>
  <si>
    <t>000280</t>
  </si>
  <si>
    <t>Enable the Thaler BAS/FAS caches (JMX:cacheBean:enableAllCaches)</t>
  </si>
  <si>
    <t>000290</t>
  </si>
  <si>
    <t>C</t>
  </si>
  <si>
    <t>pk_importYE -d ./YE ./list_mnt.txt</t>
  </si>
  <si>
    <t>L-ZPR105R.cbl</t>
  </si>
  <si>
    <t>psa#1579</t>
  </si>
  <si>
    <t>cbl</t>
  </si>
  <si>
    <t>psa#1</t>
  </si>
  <si>
    <t>M-PGRCR.cbl</t>
  </si>
  <si>
    <t>psa#9.3.8</t>
  </si>
  <si>
    <t>br#1</t>
  </si>
  <si>
    <t>M-ZPR105R.cbl</t>
  </si>
  <si>
    <t>ZPR105R.cbl</t>
  </si>
  <si>
    <t>copy_code</t>
  </si>
  <si>
    <t>dir</t>
  </si>
  <si>
    <t>psa#59.2.8.3.3</t>
  </si>
  <si>
    <t>br#113</t>
  </si>
  <si>
    <t>psa#59.2.8.3.4</t>
  </si>
  <si>
    <t>routine</t>
  </si>
  <si>
    <t>psa#217.1.13.1.1.1.8</t>
  </si>
  <si>
    <t>br#133</t>
  </si>
  <si>
    <t>ZXT002.cbl</t>
  </si>
  <si>
    <t>psa#1580</t>
  </si>
  <si>
    <t>8</t>
  </si>
  <si>
    <t>YAD01</t>
  </si>
  <si>
    <t>TAD01</t>
  </si>
  <si>
    <t>CWD01</t>
  </si>
  <si>
    <t>CWDE2</t>
  </si>
  <si>
    <t>HDD01</t>
  </si>
  <si>
    <t>HDD02</t>
  </si>
  <si>
    <t>HDD03</t>
  </si>
  <si>
    <t>HDD05</t>
  </si>
  <si>
    <t>HDD07</t>
  </si>
  <si>
    <t>HDD16</t>
  </si>
  <si>
    <t>HDD09</t>
  </si>
  <si>
    <t>HDD10</t>
  </si>
  <si>
    <t>HDD12</t>
  </si>
  <si>
    <t>CWD23</t>
  </si>
  <si>
    <t>DPD04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</si>
</sst>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[ &quot;\ dd/mm/yyyy\ &quot; ]&quot;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name val="Book Antiqua"/>
      <family val="1"/>
    </font>
    <font>
      <sz val="8"/>
      <name val="Book Antiqua"/>
      <family val="1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rgb="FFFFCC00"/>
      <name val="Calibri"/>
      <family val="2"/>
    </font>
    <font>
      <b/>
      <sz val="11"/>
      <color rgb="FFFFCC33"/>
      <name val="Calibri"/>
      <family val="2"/>
    </font>
    <font>
      <b/>
      <sz val="11"/>
      <color rgb="FF000000"/>
      <name val="Calibri"/>
      <family val="2"/>
    </font>
    <font>
      <b/>
      <sz val="11"/>
      <color rgb="FF00B050"/>
      <name val="Wingdings 2"/>
      <family val="1"/>
      <charset val="2"/>
    </font>
    <font>
      <b/>
      <sz val="11"/>
      <name val="Calibri"/>
      <family val="2"/>
    </font>
    <font>
      <b/>
      <sz val="11"/>
      <color rgb="FFFF0000"/>
      <name val="Wingdings 2"/>
      <family val="1"/>
      <charset val="2"/>
    </font>
    <font>
      <b/>
      <sz val="11"/>
      <color rgb="FFFFCC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6100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5"/>
        <bgColor indexed="24"/>
      </patternFill>
    </fill>
    <fill>
      <patternFill patternType="solid">
        <fgColor indexed="42"/>
        <bgColor indexed="27"/>
      </patternFill>
    </fill>
    <fill>
      <patternFill patternType="solid">
        <fgColor rgb="FF04529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92D050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double">
        <color rgb="FF3F3F3F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/>
      <top style="double">
        <color rgb="FF3F3F3F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ouble">
        <color indexed="63"/>
      </left>
      <right style="double">
        <color indexed="63"/>
      </right>
      <top/>
      <bottom/>
      <diagonal/>
    </border>
    <border>
      <left style="double">
        <color indexed="63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3F3F3F"/>
      </left>
      <right style="medium">
        <color rgb="FF3F3F3F"/>
      </right>
      <top/>
      <bottom style="medium">
        <color rgb="FF3F3F3F"/>
      </bottom>
      <diagonal/>
    </border>
    <border>
      <left/>
      <right style="medium">
        <color rgb="FF3F3F3F"/>
      </right>
      <top/>
      <bottom style="medium">
        <color rgb="FF3F3F3F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3F3F3F"/>
      </right>
      <top/>
      <bottom/>
      <diagonal/>
    </border>
    <border>
      <left/>
      <right/>
      <top/>
      <bottom style="medium">
        <color rgb="FF3F3F3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1" fillId="0" borderId="0" applyNumberFormat="0" applyFill="0" applyBorder="0" applyAlignment="0" applyProtection="0"/>
    <xf numFmtId="0" fontId="1" fillId="0" borderId="0"/>
    <xf numFmtId="0" fontId="24" fillId="36" borderId="26" applyNumberFormat="0" applyAlignment="0" applyProtection="0"/>
    <xf numFmtId="0" fontId="25" fillId="37" borderId="0" applyNumberFormat="0" applyBorder="0" applyAlignment="0" applyProtection="0"/>
  </cellStyleXfs>
  <cellXfs count="91">
    <xf numFmtId="0" fontId="0" fillId="0" borderId="0" xfId="0"/>
    <xf numFmtId="0" fontId="13" fillId="7" borderId="7" xfId="13"/>
    <xf numFmtId="0" fontId="0" fillId="0" borderId="0" xfId="0"/>
    <xf numFmtId="0" fontId="0" fillId="0" borderId="10" xfId="0" applyBorder="1"/>
    <xf numFmtId="0" fontId="13" fillId="7" borderId="20" xfId="13" applyBorder="1"/>
    <xf numFmtId="0" fontId="0" fillId="0" borderId="14" xfId="0" applyBorder="1"/>
    <xf numFmtId="0" fontId="0" fillId="35" borderId="0" xfId="0" applyFill="1"/>
    <xf numFmtId="0" fontId="20" fillId="0" borderId="0" xfId="0" applyFont="1" applyFill="1"/>
    <xf numFmtId="0" fontId="13" fillId="7" borderId="7" xfId="13" applyAlignment="1">
      <alignment vertical="top"/>
    </xf>
    <xf numFmtId="0" fontId="21" fillId="0" borderId="0" xfId="42"/>
    <xf numFmtId="0" fontId="21" fillId="0" borderId="21" xfId="42" applyBorder="1" applyAlignment="1"/>
    <xf numFmtId="0" fontId="13" fillId="7" borderId="20" xfId="13" applyBorder="1" applyAlignment="1"/>
    <xf numFmtId="0" fontId="13" fillId="7" borderId="20" xfId="13" applyBorder="1" applyAlignment="1">
      <alignment horizontal="center"/>
    </xf>
    <xf numFmtId="0" fontId="21" fillId="0" borderId="0" xfId="42" applyBorder="1" applyAlignment="1"/>
    <xf numFmtId="0" fontId="1" fillId="0" borderId="0" xfId="43"/>
    <xf numFmtId="0" fontId="18" fillId="33" borderId="11" xfId="0" applyFont="1" applyFill="1" applyBorder="1" applyAlignment="1">
      <alignment horizontal="right" vertical="center"/>
    </xf>
    <xf numFmtId="0" fontId="19" fillId="33" borderId="12" xfId="0" applyFont="1" applyFill="1" applyBorder="1" applyAlignment="1">
      <alignment horizontal="left" vertical="center"/>
    </xf>
    <xf numFmtId="0" fontId="19" fillId="33" borderId="12" xfId="0" applyFont="1" applyFill="1" applyBorder="1" applyAlignment="1">
      <alignment vertical="center"/>
    </xf>
    <xf numFmtId="0" fontId="0" fillId="33" borderId="12" xfId="0" applyFill="1" applyBorder="1" applyAlignment="1">
      <alignment vertical="center"/>
    </xf>
    <xf numFmtId="0" fontId="0" fillId="0" borderId="0" xfId="0" applyAlignment="1">
      <alignment vertical="center"/>
    </xf>
    <xf numFmtId="0" fontId="18" fillId="33" borderId="13" xfId="0" applyFont="1" applyFill="1" applyBorder="1" applyAlignment="1">
      <alignment horizontal="right" vertical="center"/>
    </xf>
    <xf numFmtId="0" fontId="18" fillId="33" borderId="0" xfId="0" applyFont="1" applyFill="1" applyBorder="1" applyAlignment="1">
      <alignment horizontal="right" vertical="center"/>
    </xf>
    <xf numFmtId="0" fontId="19" fillId="0" borderId="10" xfId="0" applyFont="1" applyBorder="1" applyAlignment="1">
      <alignment vertical="center"/>
    </xf>
    <xf numFmtId="0" fontId="0" fillId="33" borderId="0" xfId="0" applyFill="1" applyBorder="1" applyAlignment="1">
      <alignment vertical="center"/>
    </xf>
    <xf numFmtId="0" fontId="19" fillId="33" borderId="0" xfId="0" applyFont="1" applyFill="1" applyBorder="1" applyAlignment="1">
      <alignment vertical="center"/>
    </xf>
    <xf numFmtId="164" fontId="19" fillId="34" borderId="10" xfId="0" applyNumberFormat="1" applyFont="1" applyFill="1" applyBorder="1" applyAlignment="1">
      <alignment horizontal="left" vertical="center"/>
    </xf>
    <xf numFmtId="0" fontId="19" fillId="0" borderId="15" xfId="0" applyFont="1" applyBorder="1" applyAlignment="1">
      <alignment horizontal="left" vertical="center"/>
    </xf>
    <xf numFmtId="0" fontId="19" fillId="0" borderId="16" xfId="0" applyFont="1" applyBorder="1" applyAlignment="1">
      <alignment horizontal="left" vertical="center"/>
    </xf>
    <xf numFmtId="0" fontId="19" fillId="33" borderId="17" xfId="0" applyFont="1" applyFill="1" applyBorder="1" applyAlignment="1">
      <alignment horizontal="right" vertical="center"/>
    </xf>
    <xf numFmtId="0" fontId="19" fillId="33" borderId="18" xfId="0" applyFont="1" applyFill="1" applyBorder="1" applyAlignment="1">
      <alignment horizontal="right" vertical="center"/>
    </xf>
    <xf numFmtId="0" fontId="19" fillId="33" borderId="18" xfId="0" applyFont="1" applyFill="1" applyBorder="1" applyAlignment="1">
      <alignment vertical="center"/>
    </xf>
    <xf numFmtId="0" fontId="13" fillId="7" borderId="20" xfId="13" applyBorder="1" applyAlignment="1">
      <alignment vertical="center"/>
    </xf>
    <xf numFmtId="0" fontId="0" fillId="0" borderId="10" xfId="0" applyBorder="1" applyAlignment="1">
      <alignment vertical="center"/>
    </xf>
    <xf numFmtId="0" fontId="18" fillId="33" borderId="1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33" borderId="0" xfId="0" applyFont="1" applyFill="1" applyBorder="1" applyAlignment="1">
      <alignment horizontal="center" vertical="center"/>
    </xf>
    <xf numFmtId="0" fontId="19" fillId="33" borderId="18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9" fillId="0" borderId="14" xfId="0" quotePrefix="1" applyFont="1" applyBorder="1" applyAlignment="1">
      <alignment horizontal="left" vertical="center"/>
    </xf>
    <xf numFmtId="16" fontId="19" fillId="0" borderId="10" xfId="0" applyNumberFormat="1" applyFont="1" applyBorder="1" applyAlignment="1">
      <alignment vertical="center"/>
    </xf>
    <xf numFmtId="16" fontId="0" fillId="0" borderId="10" xfId="0" applyNumberFormat="1" applyBorder="1" applyAlignment="1">
      <alignment vertical="center"/>
    </xf>
    <xf numFmtId="0" fontId="0" fillId="0" borderId="0" xfId="0"/>
    <xf numFmtId="0" fontId="13" fillId="7" borderId="20" xfId="13" applyBorder="1" applyAlignment="1">
      <alignment vertical="top"/>
    </xf>
    <xf numFmtId="0" fontId="0" fillId="0" borderId="0" xfId="0" applyAlignment="1">
      <alignment wrapText="1"/>
    </xf>
    <xf numFmtId="0" fontId="13" fillId="7" borderId="20" xfId="13" applyBorder="1" applyAlignment="1">
      <alignment horizontal="center" vertical="center"/>
    </xf>
    <xf numFmtId="0" fontId="24" fillId="36" borderId="26" xfId="44" applyNumberFormat="1" applyFont="1" applyAlignment="1" applyProtection="1"/>
    <xf numFmtId="0" fontId="24" fillId="36" borderId="27" xfId="44" applyNumberFormat="1" applyFont="1" applyBorder="1" applyAlignment="1" applyProtection="1"/>
    <xf numFmtId="0" fontId="0" fillId="0" borderId="0" xfId="0" applyFont="1"/>
    <xf numFmtId="0" fontId="0" fillId="0" borderId="0" xfId="0" applyNumberFormat="1" applyFont="1"/>
    <xf numFmtId="0" fontId="25" fillId="37" borderId="26" xfId="45" applyNumberFormat="1" applyFont="1" applyBorder="1" applyAlignment="1" applyProtection="1"/>
    <xf numFmtId="0" fontId="25" fillId="37" borderId="0" xfId="45" applyNumberFormat="1" applyFont="1" applyBorder="1" applyAlignment="1" applyProtection="1"/>
    <xf numFmtId="0" fontId="24" fillId="36" borderId="28" xfId="44" applyNumberFormat="1" applyFont="1" applyBorder="1" applyAlignment="1" applyProtection="1"/>
    <xf numFmtId="0" fontId="24" fillId="36" borderId="26" xfId="44"/>
    <xf numFmtId="0" fontId="27" fillId="38" borderId="10" xfId="0" applyFont="1" applyFill="1" applyBorder="1" applyAlignment="1">
      <alignment vertical="center"/>
    </xf>
    <xf numFmtId="14" fontId="28" fillId="39" borderId="10" xfId="0" applyNumberFormat="1" applyFont="1" applyFill="1" applyBorder="1" applyAlignment="1">
      <alignment horizontal="right" vertical="center"/>
    </xf>
    <xf numFmtId="0" fontId="28" fillId="39" borderId="10" xfId="0" applyFont="1" applyFill="1" applyBorder="1" applyAlignment="1">
      <alignment vertical="center"/>
    </xf>
    <xf numFmtId="0" fontId="29" fillId="39" borderId="10" xfId="0" applyFont="1" applyFill="1" applyBorder="1" applyAlignment="1">
      <alignment horizontal="center" vertical="center"/>
    </xf>
    <xf numFmtId="14" fontId="30" fillId="39" borderId="10" xfId="0" applyNumberFormat="1" applyFont="1" applyFill="1" applyBorder="1" applyAlignment="1">
      <alignment horizontal="right" vertical="center"/>
    </xf>
    <xf numFmtId="0" fontId="30" fillId="39" borderId="10" xfId="0" applyFont="1" applyFill="1" applyBorder="1" applyAlignment="1">
      <alignment vertical="center"/>
    </xf>
    <xf numFmtId="0" fontId="27" fillId="38" borderId="31" xfId="0" applyFont="1" applyFill="1" applyBorder="1" applyAlignment="1">
      <alignment vertical="center"/>
    </xf>
    <xf numFmtId="0" fontId="27" fillId="38" borderId="19" xfId="0" applyFont="1" applyFill="1" applyBorder="1" applyAlignment="1">
      <alignment vertical="center"/>
    </xf>
    <xf numFmtId="14" fontId="28" fillId="39" borderId="32" xfId="0" applyNumberFormat="1" applyFont="1" applyFill="1" applyBorder="1" applyAlignment="1">
      <alignment horizontal="right" vertical="center"/>
    </xf>
    <xf numFmtId="0" fontId="28" fillId="39" borderId="33" xfId="0" applyFont="1" applyFill="1" applyBorder="1" applyAlignment="1">
      <alignment vertical="center"/>
    </xf>
    <xf numFmtId="0" fontId="29" fillId="39" borderId="33" xfId="0" applyFont="1" applyFill="1" applyBorder="1" applyAlignment="1">
      <alignment horizontal="center" vertical="center"/>
    </xf>
    <xf numFmtId="0" fontId="31" fillId="39" borderId="33" xfId="0" applyFont="1" applyFill="1" applyBorder="1" applyAlignment="1">
      <alignment horizontal="center" vertical="center"/>
    </xf>
    <xf numFmtId="14" fontId="16" fillId="39" borderId="32" xfId="0" applyNumberFormat="1" applyFont="1" applyFill="1" applyBorder="1" applyAlignment="1">
      <alignment horizontal="right" vertical="center"/>
    </xf>
    <xf numFmtId="0" fontId="16" fillId="39" borderId="33" xfId="0" applyFont="1" applyFill="1" applyBorder="1" applyAlignment="1">
      <alignment vertical="center"/>
    </xf>
    <xf numFmtId="0" fontId="29" fillId="39" borderId="35" xfId="0" applyFont="1" applyFill="1" applyBorder="1" applyAlignment="1">
      <alignment horizontal="center" vertical="center"/>
    </xf>
    <xf numFmtId="0" fontId="16" fillId="39" borderId="36" xfId="0" applyFont="1" applyFill="1" applyBorder="1" applyAlignment="1">
      <alignment vertical="center"/>
    </xf>
    <xf numFmtId="0" fontId="29" fillId="39" borderId="37" xfId="0" applyFont="1" applyFill="1" applyBorder="1" applyAlignment="1">
      <alignment horizontal="center" vertical="center"/>
    </xf>
    <xf numFmtId="0" fontId="29" fillId="39" borderId="38" xfId="0" applyFont="1" applyFill="1" applyBorder="1" applyAlignment="1">
      <alignment horizontal="center" vertical="center"/>
    </xf>
    <xf numFmtId="0" fontId="33" fillId="40" borderId="0" xfId="0" applyFont="1" applyFill="1"/>
    <xf numFmtId="0" fontId="6" fillId="2" borderId="0" xfId="6"/>
    <xf numFmtId="0" fontId="34" fillId="2" borderId="0" xfId="6" applyFont="1"/>
    <xf numFmtId="0" fontId="0" fillId="0" borderId="10" xfId="0" applyBorder="1" applyAlignment="1">
      <alignment horizontal="center" vertical="center"/>
    </xf>
    <xf numFmtId="0" fontId="13" fillId="7" borderId="24" xfId="13" applyBorder="1" applyAlignment="1">
      <alignment horizontal="center" vertical="center"/>
    </xf>
    <xf numFmtId="0" fontId="13" fillId="7" borderId="25" xfId="13" applyBorder="1" applyAlignment="1">
      <alignment horizontal="center" vertical="center"/>
    </xf>
    <xf numFmtId="0" fontId="17" fillId="25" borderId="23" xfId="34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18" fillId="33" borderId="22" xfId="0" applyFont="1" applyFill="1" applyBorder="1" applyAlignment="1">
      <alignment horizontal="center" vertical="center"/>
    </xf>
    <xf numFmtId="0" fontId="18" fillId="33" borderId="0" xfId="0" applyFont="1" applyFill="1" applyBorder="1" applyAlignment="1">
      <alignment horizontal="center" vertical="center"/>
    </xf>
    <xf numFmtId="0" fontId="26" fillId="38" borderId="14" xfId="0" applyFont="1" applyFill="1" applyBorder="1" applyAlignment="1">
      <alignment horizontal="center" vertical="center"/>
    </xf>
    <xf numFmtId="0" fontId="26" fillId="38" borderId="15" xfId="0" applyFont="1" applyFill="1" applyBorder="1" applyAlignment="1">
      <alignment horizontal="center" vertical="center"/>
    </xf>
    <xf numFmtId="0" fontId="26" fillId="38" borderId="16" xfId="0" applyFont="1" applyFill="1" applyBorder="1" applyAlignment="1">
      <alignment horizontal="center" vertical="center"/>
    </xf>
    <xf numFmtId="0" fontId="26" fillId="38" borderId="29" xfId="0" applyFont="1" applyFill="1" applyBorder="1" applyAlignment="1">
      <alignment horizontal="center" vertical="center"/>
    </xf>
    <xf numFmtId="0" fontId="26" fillId="38" borderId="30" xfId="0" applyFont="1" applyFill="1" applyBorder="1" applyAlignment="1">
      <alignment horizontal="center" vertical="center"/>
    </xf>
    <xf numFmtId="0" fontId="32" fillId="38" borderId="29" xfId="0" applyFont="1" applyFill="1" applyBorder="1" applyAlignment="1">
      <alignment horizontal="center" vertical="center"/>
    </xf>
    <xf numFmtId="0" fontId="32" fillId="38" borderId="30" xfId="0" applyFont="1" applyFill="1" applyBorder="1" applyAlignment="1">
      <alignment horizontal="center" vertical="center"/>
    </xf>
    <xf numFmtId="0" fontId="32" fillId="38" borderId="34" xfId="0" applyFont="1" applyFill="1" applyBorder="1" applyAlignment="1">
      <alignment horizontal="center" vertical="center"/>
    </xf>
    <xf numFmtId="0" fontId="0" fillId="0" borderId="0" xfId="0" applyAlignment="1">
      <alignment wrapText="1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cel_BuiltIn_Check Cell" xfId="44"/>
    <cellStyle name="Excel_BuiltIn_Good" xfId="45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10" xfId="43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24"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646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464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64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</dxf>
    <dxf>
      <fill>
        <patternFill patternType="solid">
          <bgColor rgb="FFFF6969"/>
        </patternFill>
      </fill>
    </dxf>
    <dxf>
      <fill>
        <patternFill>
          <bgColor theme="9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mruColors>
      <color rgb="FFFF3300"/>
      <color rgb="FFFF4646"/>
      <color rgb="FFFF3F3F"/>
      <color rgb="FFFF4B4B"/>
      <color rgb="FFFF696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worksheets/sheet13.xml" Type="http://schemas.openxmlformats.org/officeDocument/2006/relationships/worksheet"/>
<Relationship Id="rId14" Target="externalLinks/externalLink1.xml" Type="http://schemas.openxmlformats.org/officeDocument/2006/relationships/externalLink"/>
<Relationship Id="rId15" Target="theme/theme1.xml" Type="http://schemas.openxmlformats.org/officeDocument/2006/relationships/theme"/>
<Relationship Id="rId16" Target="styles.xml" Type="http://schemas.openxmlformats.org/officeDocument/2006/relationships/styles"/>
<Relationship Id="rId17" Target="sharedStrings.xml" Type="http://schemas.openxmlformats.org/officeDocument/2006/relationships/sharedStrings"/>
<Relationship Id="rId18" Target="calcChain.xml" Type="http://schemas.openxmlformats.org/officeDocument/2006/relationships/calcChain"/>
<Relationship Id="rId19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externalLinks/_rels/externalLink1.xml.rels><?xml version="1.0" encoding="UTF-8" standalone="no"?>
<Relationships xmlns="http://schemas.openxmlformats.org/package/2006/relationships">
<Relationship Id="rId1" Target="/Users/gletellier/Documents/201401/17.%20PIP%20PIPz/PACK-PIP-0072.xlsm" TargetMode="External" Type="http://schemas.openxmlformats.org/officeDocument/2006/relationships/externalLinkPath"/>
</Relationships>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yStatu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printerSettings/printerSettings2.bin" Type="http://schemas.openxmlformats.org/officeDocument/2006/relationships/printerSettings"/>
<Relationship Id="rId3" Target="../drawings/vmlDrawing1.vml" Type="http://schemas.openxmlformats.org/officeDocument/2006/relationships/vmlDrawing"/>
<Relationship Id="rId4" Target="../comments1.xml" Type="http://schemas.openxmlformats.org/officeDocument/2006/relationships/comment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Relationship Id="rId2" Target="../printerSettings/printerSettings4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_rels/sheet8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/Relationships>

</file>

<file path=xl/worksheets/_rels/sheet10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Relationship Id="rId2" Target="../printerSettings/printerSettings8.bin" Type="http://schemas.openxmlformats.org/officeDocument/2006/relationships/printerSettings"/>
</Relationships>

</file>

<file path=xl/worksheets/_rels/sheet12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45"/>
  <sheetViews>
    <sheetView zoomScale="85" zoomScaleNormal="85" workbookViewId="0">
      <pane ySplit="14" topLeftCell="A15" activePane="bottomLeft" state="frozen"/>
      <selection pane="bottomLeft" activeCell="A24" sqref="A24"/>
    </sheetView>
  </sheetViews>
  <sheetFormatPr defaultRowHeight="15" x14ac:dyDescent="0.25"/>
  <cols>
    <col min="1" max="1" bestFit="true" customWidth="true" style="19" width="7.5703125" collapsed="true"/>
    <col min="2" max="2" bestFit="true" customWidth="true" style="34" width="13.5703125" collapsed="true"/>
    <col min="3" max="3" bestFit="true" customWidth="true" style="19" width="72.5703125" collapsed="true"/>
    <col min="4" max="4" bestFit="true" customWidth="true" style="19" width="7.85546875" collapsed="true"/>
    <col min="5" max="5" bestFit="true" customWidth="true" style="19" width="7.140625" collapsed="true"/>
    <col min="6" max="6" bestFit="true" customWidth="true" style="19" width="16.42578125" collapsed="true"/>
    <col min="7" max="7" bestFit="true" customWidth="true" style="19" width="15.0" collapsed="true"/>
    <col min="8" max="8" bestFit="true" customWidth="true" style="19" width="5.7109375" collapsed="true"/>
    <col min="9" max="9" bestFit="true" customWidth="true" style="19" width="73.28515625" collapsed="true"/>
    <col min="10" max="10" bestFit="true" customWidth="true" style="19" width="100.28515625" collapsed="true"/>
    <col min="11" max="11" customWidth="true" style="19" width="58.85546875" collapsed="true"/>
    <col min="12" max="16384" style="19" width="9.140625" collapsed="true"/>
  </cols>
  <sheetData>
    <row r="1" spans="1:10" ht="3.75" customHeight="1" x14ac:dyDescent="0.25">
      <c r="A1" s="15"/>
      <c r="B1" s="33"/>
      <c r="C1" s="16"/>
      <c r="D1" s="16"/>
      <c r="E1" s="17"/>
      <c r="F1" s="18"/>
      <c r="G1" s="18"/>
      <c r="H1" s="18"/>
      <c r="I1" s="18"/>
      <c r="J1"/>
    </row>
    <row r="2" spans="1:10" ht="15" customHeight="1" x14ac:dyDescent="0.25">
      <c r="A2" s="79" t="s">
        <v>4</v>
      </c>
      <c r="B2" s="80"/>
      <c r="C2" s="22" t="s">
        <v>191</v>
      </c>
      <c r="D2" s="23"/>
      <c r="E2" s="21" t="s">
        <v>58</v>
      </c>
      <c r="F2" s="19" t="s">
        <v>192</v>
      </c>
      <c r="G2" s="21" t="s">
        <v>59</v>
      </c>
      <c r="H2" s="19" t="s">
        <v>193</v>
      </c>
      <c r="I2" s="24"/>
      <c r="J2"/>
    </row>
    <row r="3" spans="1:10" ht="3.75" customHeight="1" x14ac:dyDescent="0.25">
      <c r="A3" s="20"/>
      <c r="B3" s="35"/>
      <c r="C3" s="23"/>
      <c r="D3" s="23"/>
      <c r="E3" s="23"/>
      <c r="F3" s="23"/>
      <c r="G3" s="23"/>
      <c r="H3" s="23"/>
      <c r="I3" s="24"/>
      <c r="J3"/>
    </row>
    <row r="4" spans="1:10" ht="15" customHeight="1" x14ac:dyDescent="0.25">
      <c r="A4" s="79" t="s">
        <v>61</v>
      </c>
      <c r="B4" s="81"/>
      <c r="C4" s="40"/>
      <c r="D4" s="23"/>
      <c r="E4" s="21" t="s">
        <v>3</v>
      </c>
      <c r="F4" s="22" t="s">
        <v>89</v>
      </c>
      <c r="G4" s="21" t="s">
        <v>60</v>
      </c>
      <c r="H4" s="22" t="s">
        <v>49</v>
      </c>
      <c r="I4" s="24"/>
      <c r="J4"/>
    </row>
    <row r="5" spans="1:10" ht="3.75" customHeight="1" x14ac:dyDescent="0.25">
      <c r="A5" s="20"/>
      <c r="B5" s="35"/>
      <c r="C5" s="23"/>
      <c r="D5" s="23"/>
      <c r="E5" s="24"/>
      <c r="F5" s="23"/>
      <c r="G5" s="23"/>
      <c r="H5" s="23"/>
      <c r="I5" s="24"/>
      <c r="J5"/>
    </row>
    <row r="6" spans="1:10" ht="3.75" customHeight="1" x14ac:dyDescent="0.25">
      <c r="A6" s="20"/>
      <c r="B6" s="35"/>
      <c r="C6" s="23"/>
      <c r="D6" s="23"/>
      <c r="E6" s="23"/>
      <c r="F6" s="23"/>
      <c r="G6" s="23"/>
      <c r="H6" s="23"/>
      <c r="I6" s="24"/>
      <c r="J6"/>
    </row>
    <row r="7" spans="1:10" ht="15" customHeight="1" x14ac:dyDescent="0.25">
      <c r="A7" s="79" t="s">
        <v>84</v>
      </c>
      <c r="B7" s="80"/>
      <c r="C7" s="42"/>
      <c r="D7" s="23"/>
      <c r="E7" s="21" t="s">
        <v>62</v>
      </c>
      <c r="F7" s="25"/>
      <c r="G7" s="21" t="s">
        <v>63</v>
      </c>
      <c r="H7" s="40"/>
      <c r="I7" s="24"/>
      <c r="J7"/>
    </row>
    <row r="8" spans="1:10" ht="3.75" customHeight="1" x14ac:dyDescent="0.25">
      <c r="A8" s="20"/>
      <c r="B8" s="35"/>
      <c r="C8" s="23"/>
      <c r="D8" s="23"/>
      <c r="E8" s="21"/>
      <c r="F8" s="24"/>
      <c r="G8" s="24"/>
      <c r="H8" s="21"/>
      <c r="I8" s="24"/>
      <c r="J8"/>
    </row>
    <row r="9" spans="1:10" ht="15" customHeight="1" x14ac:dyDescent="0.25">
      <c r="A9" s="79" t="s">
        <v>64</v>
      </c>
      <c r="B9" s="80"/>
      <c r="C9" t="s">
        <v>190</v>
      </c>
      <c r="D9" s="23"/>
      <c r="E9" s="21" t="s">
        <v>95</v>
      </c>
      <c r="F9" s="25" t="s">
        <v>93</v>
      </c>
      <c r="G9" s="21" t="s">
        <v>94</v>
      </c>
      <c r="H9" s="25" t="s">
        <v>93</v>
      </c>
      <c r="I9" s="24"/>
      <c r="J9"/>
    </row>
    <row r="10" spans="1:10" ht="3.75" customHeight="1" x14ac:dyDescent="0.25">
      <c r="A10" s="20"/>
      <c r="B10" s="35"/>
      <c r="C10" s="23"/>
      <c r="D10" s="23"/>
      <c r="E10" s="24"/>
      <c r="F10" s="23"/>
      <c r="G10" s="23"/>
      <c r="H10" s="23"/>
      <c r="I10" s="23"/>
      <c r="J10"/>
    </row>
    <row r="11" spans="1:10" ht="15" customHeight="1" x14ac:dyDescent="0.25">
      <c r="A11" s="79" t="s">
        <v>85</v>
      </c>
      <c r="B11" s="80"/>
      <c r="C11" s="39"/>
      <c r="D11" s="26"/>
      <c r="E11" s="26"/>
      <c r="F11" s="26"/>
      <c r="G11" s="26"/>
      <c r="H11" s="26"/>
      <c r="I11" s="27"/>
      <c r="J11"/>
    </row>
    <row r="12" spans="1:10" ht="3.75" customHeight="1" thickBot="1" x14ac:dyDescent="0.3">
      <c r="A12" s="28"/>
      <c r="B12" s="36"/>
      <c r="C12" s="29"/>
      <c r="D12" s="29"/>
      <c r="E12" s="30"/>
      <c r="F12" s="30"/>
      <c r="G12" s="30"/>
      <c r="H12" s="30"/>
      <c r="I12" s="30"/>
      <c r="J12"/>
    </row>
    <row r="13" spans="1:10" ht="15.75" thickBot="1" x14ac:dyDescent="0.3">
      <c r="A13" s="78" t="str">
        <f>CONCATENATE("cd $SH/rmm_32",";","pk_RMM_execProc RMM.cfg RMM_upgradeEnv ",C9)</f>
        <v>cd $SH/rmm_32;pk_RMM_execProc RMM.cfg RMM_upgradeEnv PACK-XXX-XXXX</v>
      </c>
      <c r="B13" s="78"/>
      <c r="C13" s="78"/>
      <c r="D13" s="78"/>
      <c r="E13" s="78"/>
      <c r="F13" s="78"/>
      <c r="G13" s="78"/>
      <c r="H13" s="78"/>
      <c r="I13" s="78"/>
    </row>
    <row r="14" spans="1:10" ht="15" customHeight="1" thickTop="1" x14ac:dyDescent="0.25">
      <c r="A14" s="31" t="s">
        <v>3</v>
      </c>
      <c r="B14" s="45" t="s">
        <v>72</v>
      </c>
      <c r="C14" s="31" t="s">
        <v>5</v>
      </c>
      <c r="D14" s="45" t="s">
        <v>65</v>
      </c>
      <c r="E14" s="45" t="s">
        <v>66</v>
      </c>
      <c r="F14" s="76" t="s">
        <v>7</v>
      </c>
      <c r="G14" s="77"/>
      <c r="H14" s="77"/>
      <c r="I14" s="77"/>
    </row>
    <row r="15" spans="1:10" x14ac:dyDescent="0.25">
      <c r="A15" s="32" t="s">
        <v>0</v>
      </c>
      <c r="B15" s="37" t="s">
        <v>73</v>
      </c>
      <c r="C15" s="32" t="s">
        <v>67</v>
      </c>
      <c r="D15" s="41"/>
      <c r="E15" s="41"/>
      <c r="F15" s="75"/>
      <c r="G15" s="75"/>
      <c r="H15" s="75"/>
      <c r="I15" s="75"/>
    </row>
    <row r="16" spans="1:10" x14ac:dyDescent="0.25">
      <c r="A16" s="32" t="s">
        <v>89</v>
      </c>
      <c r="B16" s="37" t="s">
        <v>73</v>
      </c>
      <c r="C16" s="32" t="s">
        <v>69</v>
      </c>
      <c r="D16" s="41"/>
      <c r="E16" s="32"/>
      <c r="F16" s="75"/>
      <c r="G16" s="75"/>
      <c r="H16" s="75"/>
      <c r="I16" s="75"/>
    </row>
    <row r="17" spans="1:9" x14ac:dyDescent="0.25">
      <c r="A17" s="32" t="s">
        <v>89</v>
      </c>
      <c r="B17" s="37" t="s">
        <v>73</v>
      </c>
      <c r="C17" s="32" t="s">
        <v>68</v>
      </c>
      <c r="D17" s="41"/>
      <c r="E17" s="41"/>
      <c r="F17" s="75"/>
      <c r="G17" s="75"/>
      <c r="H17" s="75"/>
      <c r="I17" s="75"/>
    </row>
    <row r="18" spans="1:9" x14ac:dyDescent="0.25">
      <c r="A18" s="32" t="s">
        <v>89</v>
      </c>
      <c r="B18" s="32" t="s">
        <v>79</v>
      </c>
      <c r="C18" s="32" t="s">
        <v>70</v>
      </c>
      <c r="D18" s="41"/>
      <c r="E18" s="41"/>
      <c r="F18" s="75"/>
      <c r="G18" s="75"/>
      <c r="H18" s="75"/>
      <c r="I18" s="75"/>
    </row>
    <row r="19" spans="1:9" x14ac:dyDescent="0.25">
      <c r="A19" s="32" t="s">
        <v>89</v>
      </c>
      <c r="B19" s="37" t="s">
        <v>74</v>
      </c>
      <c r="C19" s="32" t="str">
        <f>CONCATENATE("Generate the transfer operations on ",F2)</f>
        <v>Generate the transfer operations on From here</v>
      </c>
      <c r="D19" s="41"/>
      <c r="E19" s="41"/>
      <c r="F19" s="75"/>
      <c r="G19" s="75"/>
      <c r="H19" s="75"/>
      <c r="I19" s="75"/>
    </row>
    <row r="20" spans="1:9" x14ac:dyDescent="0.25">
      <c r="A20" s="32" t="s">
        <v>89</v>
      </c>
      <c r="B20" s="37" t="s">
        <v>74</v>
      </c>
      <c r="C20" s="32" t="str">
        <f>CONCATENATE("Check the generated transfer operations for pack ",C11)</f>
        <v xml:space="preserve">Check the generated transfer operations for pack </v>
      </c>
      <c r="D20" s="41"/>
      <c r="E20" s="41"/>
      <c r="F20" s="75"/>
      <c r="G20" s="75"/>
      <c r="H20" s="75"/>
      <c r="I20" s="75"/>
    </row>
    <row r="21" spans="1:9" x14ac:dyDescent="0.25">
      <c r="A21" s="32" t="s">
        <v>89</v>
      </c>
      <c r="B21" s="37" t="s">
        <v>74</v>
      </c>
      <c r="C21" s="32" t="s">
        <v>81</v>
      </c>
      <c r="D21" s="41"/>
      <c r="E21" s="41"/>
      <c r="F21" s="75"/>
      <c r="G21" s="75"/>
      <c r="H21" s="75"/>
      <c r="I21" s="75"/>
    </row>
    <row r="22" spans="1:9" x14ac:dyDescent="0.25">
      <c r="A22" s="32" t="s">
        <v>89</v>
      </c>
      <c r="B22" s="37" t="s">
        <v>74</v>
      </c>
      <c r="C22" s="32" t="s">
        <v>80</v>
      </c>
      <c r="D22" s="41"/>
      <c r="E22" s="41"/>
      <c r="F22" s="75"/>
      <c r="G22" s="75"/>
      <c r="H22" s="75"/>
      <c r="I22" s="75"/>
    </row>
    <row r="23" spans="1:9" x14ac:dyDescent="0.25">
      <c r="A23" s="32" t="s">
        <v>89</v>
      </c>
      <c r="B23" s="37" t="s">
        <v>75</v>
      </c>
      <c r="C23" s="32" t="str">
        <f>CONCATENATE("Add the Synergy tasks to the manual folder of ",H2)</f>
        <v>Add the Synergy tasks to the manual folder of To here</v>
      </c>
      <c r="D23" s="41"/>
      <c r="E23" s="41"/>
      <c r="F23" s="75"/>
      <c r="G23" s="75"/>
      <c r="H23" s="75"/>
      <c r="I23" s="75"/>
    </row>
    <row r="24" spans="1:9" x14ac:dyDescent="0.25">
      <c r="A24" s="32" t="s">
        <v>89</v>
      </c>
      <c r="B24" s="37" t="s">
        <v>75</v>
      </c>
      <c r="C24" s="32" t="str">
        <f>CONCATENATE("Update the Synergy project THALER~",H2)</f>
        <v>Update the Synergy project THALER~To here</v>
      </c>
      <c r="D24" s="41"/>
      <c r="E24" s="41"/>
      <c r="F24" s="75"/>
      <c r="G24" s="75"/>
      <c r="H24" s="75"/>
      <c r="I24" s="75"/>
    </row>
    <row r="25" spans="1:9" x14ac:dyDescent="0.25">
      <c r="A25" s="32" t="s">
        <v>89</v>
      </c>
      <c r="B25" s="37" t="s">
        <v>75</v>
      </c>
      <c r="C25" s="32" t="str">
        <f>CONCATENATE("Detect the conflicts of the Synergy project THALER~",H2)</f>
        <v>Detect the conflicts of the Synergy project THALER~To here</v>
      </c>
      <c r="D25" s="41"/>
      <c r="E25" s="41"/>
      <c r="F25" s="75"/>
      <c r="G25" s="75"/>
      <c r="H25" s="75"/>
      <c r="I25" s="75"/>
    </row>
    <row r="26" spans="1:9" x14ac:dyDescent="0.25">
      <c r="A26" s="32" t="s">
        <v>89</v>
      </c>
      <c r="B26" s="37" t="s">
        <v>75</v>
      </c>
      <c r="C26" s="32" t="str">
        <f>CONCATENATE(" Synchronize the Synergy work area of the project THALER~",H2)</f>
        <v xml:space="preserve"> Synchronize the Synergy work area of the project THALER~To here</v>
      </c>
      <c r="D26" s="41"/>
      <c r="E26" s="41"/>
      <c r="F26" s="75"/>
      <c r="G26" s="75"/>
      <c r="H26" s="75"/>
      <c r="I26" s="75"/>
    </row>
    <row r="27" spans="1:9" x14ac:dyDescent="0.25">
      <c r="A27" s="32" t="s">
        <v>89</v>
      </c>
      <c r="B27" s="37" t="s">
        <v>76</v>
      </c>
      <c r="C27" s="32" t="s">
        <v>82</v>
      </c>
      <c r="D27" s="41"/>
      <c r="E27" s="41"/>
      <c r="F27" s="75"/>
      <c r="G27" s="75"/>
      <c r="H27" s="75"/>
      <c r="I27" s="75"/>
    </row>
    <row r="28" spans="1:9" x14ac:dyDescent="0.25">
      <c r="A28" s="32" t="s">
        <v>89</v>
      </c>
      <c r="B28" s="37" t="s">
        <v>77</v>
      </c>
      <c r="C28" s="32" t="s">
        <v>83</v>
      </c>
      <c r="D28" s="41"/>
      <c r="E28" s="41"/>
      <c r="F28" s="75"/>
      <c r="G28" s="75"/>
      <c r="H28" s="75"/>
      <c r="I28" s="75"/>
    </row>
    <row r="29" spans="1:9" x14ac:dyDescent="0.25">
      <c r="A29" s="32" t="s">
        <v>89</v>
      </c>
      <c r="B29" s="37" t="s">
        <v>77</v>
      </c>
      <c r="C29" s="32" t="str">
        <f>CONCATENATE("Execute the 'P' transfers of the TOS ",C11," on the master BES")</f>
        <v>Execute the 'P' transfers of the TOS  on the master BES</v>
      </c>
      <c r="D29" s="41"/>
      <c r="E29" s="41"/>
      <c r="F29" s="75"/>
      <c r="G29" s="75"/>
      <c r="H29" s="75"/>
      <c r="I29" s="75"/>
    </row>
    <row r="30" spans="1:9" x14ac:dyDescent="0.25">
      <c r="A30" s="32" t="s">
        <v>89</v>
      </c>
      <c r="B30" s="37" t="s">
        <v>77</v>
      </c>
      <c r="C30" s="32" t="str">
        <f>CONCATENATE("Detect membership conflicts of the TOS '",C9,"' using the Flattening")</f>
        <v>Detect membership conflicts of the TOS 'PACK-XXX-XXXX' using the Flattening</v>
      </c>
      <c r="D30" s="41"/>
      <c r="E30" s="41"/>
      <c r="F30" s="75"/>
      <c r="G30" s="75"/>
      <c r="H30" s="75"/>
      <c r="I30" s="75"/>
    </row>
    <row r="31" spans="1:9" x14ac:dyDescent="0.25">
      <c r="A31" s="32" t="s">
        <v>89</v>
      </c>
      <c r="B31" s="37" t="s">
        <v>75</v>
      </c>
      <c r="C31" s="32" t="str">
        <f>CONCATENATE("Deploy the Synergy tasks on project THALER~",H2)</f>
        <v>Deploy the Synergy tasks on project THALER~To here</v>
      </c>
      <c r="D31" s="41"/>
      <c r="E31" s="41"/>
      <c r="F31" s="75"/>
      <c r="G31" s="75"/>
      <c r="H31" s="75"/>
      <c r="I31" s="75"/>
    </row>
    <row r="32" spans="1:9" ht="21" customHeight="1" x14ac:dyDescent="0.25">
      <c r="A32" s="32" t="s">
        <v>89</v>
      </c>
      <c r="B32" s="37" t="s">
        <v>76</v>
      </c>
      <c r="C32" s="32" t="str">
        <f>CONCATENATE("Compare all templates before their deployment into the projects of ",H2)</f>
        <v>Compare all templates before their deployment into the projects of To here</v>
      </c>
      <c r="D32" s="41"/>
      <c r="E32" s="41"/>
      <c r="F32" s="75"/>
      <c r="G32" s="75"/>
      <c r="H32" s="75"/>
      <c r="I32" s="75"/>
    </row>
    <row r="33" spans="1:9" x14ac:dyDescent="0.25">
      <c r="A33" s="32" t="s">
        <v>89</v>
      </c>
      <c r="B33" s="37" t="s">
        <v>76</v>
      </c>
      <c r="C33" s="32" t="str">
        <f>CONCATENATE("Deploy the configuration files into the projects of ",H2)</f>
        <v>Deploy the configuration files into the projects of To here</v>
      </c>
      <c r="D33" s="41"/>
      <c r="E33" s="41"/>
      <c r="F33" s="75"/>
      <c r="G33" s="75"/>
      <c r="H33" s="75"/>
      <c r="I33" s="75"/>
    </row>
    <row r="34" spans="1:9" x14ac:dyDescent="0.25">
      <c r="A34" s="32" t="s">
        <v>89</v>
      </c>
      <c r="B34" s="37" t="s">
        <v>77</v>
      </c>
      <c r="C34" s="32" t="str">
        <f>CONCATENATE("Execute the 'P/D' orders of the TOS '",C9,"' on the master BES")</f>
        <v>Execute the 'P/D' orders of the TOS 'PACK-XXX-XXXX' on the master BES</v>
      </c>
      <c r="D34" s="41"/>
      <c r="E34" s="41"/>
      <c r="F34" s="75"/>
      <c r="G34" s="75"/>
      <c r="H34" s="75"/>
      <c r="I34" s="75"/>
    </row>
    <row r="35" spans="1:9" x14ac:dyDescent="0.25">
      <c r="A35" s="32" t="s">
        <v>89</v>
      </c>
      <c r="B35" s="37" t="s">
        <v>77</v>
      </c>
      <c r="C35" s="32" t="str">
        <f>CONCATENATE("Execute the 'H' orders of the TOS '",C9,"' on the master BES")</f>
        <v>Execute the 'H' orders of the TOS 'PACK-XXX-XXXX' on the master BES</v>
      </c>
      <c r="D35" s="41"/>
      <c r="E35" s="41"/>
      <c r="F35" s="75"/>
      <c r="G35" s="75"/>
      <c r="H35" s="75"/>
      <c r="I35" s="75"/>
    </row>
    <row r="36" spans="1:9" x14ac:dyDescent="0.25">
      <c r="A36" s="32" t="s">
        <v>89</v>
      </c>
      <c r="B36" s="37" t="s">
        <v>77</v>
      </c>
      <c r="C36" s="32" t="str">
        <f>CONCATENATE("Execute the 'U/B' orders of the TOS '",C9,"' on the master BES")</f>
        <v>Execute the 'U/B' orders of the TOS 'PACK-XXX-XXXX' on the master BES</v>
      </c>
      <c r="D36" s="41"/>
      <c r="E36" s="41"/>
      <c r="F36" s="75"/>
      <c r="G36" s="75"/>
      <c r="H36" s="75"/>
      <c r="I36" s="75"/>
    </row>
    <row r="37" spans="1:9" x14ac:dyDescent="0.25">
      <c r="A37" s="32" t="s">
        <v>89</v>
      </c>
      <c r="B37" s="37" t="s">
        <v>77</v>
      </c>
      <c r="C37" s="32" t="str">
        <f>CONCATENATE("Execute the 'T/O' orders of the TOS '",C9,"' on the master BES")</f>
        <v>Execute the 'T/O' orders of the TOS 'PACK-XXX-XXXX' on the master BES</v>
      </c>
      <c r="D37" s="41"/>
      <c r="E37" s="41"/>
      <c r="F37" s="75"/>
      <c r="G37" s="75"/>
      <c r="H37" s="75"/>
      <c r="I37" s="75"/>
    </row>
    <row r="38" spans="1:9" x14ac:dyDescent="0.25">
      <c r="A38" s="32" t="s">
        <v>89</v>
      </c>
      <c r="B38" s="37" t="s">
        <v>77</v>
      </c>
      <c r="C38" s="32" t="str">
        <f>CONCATENATE("Execute the 'A' orders of the TOS '",C9,"' on the master BES")</f>
        <v>Execute the 'A' orders of the TOS 'PACK-XXX-XXXX' on the master BES</v>
      </c>
      <c r="D38" s="41"/>
      <c r="E38" s="41"/>
      <c r="F38" s="75"/>
      <c r="G38" s="75"/>
      <c r="H38" s="75"/>
      <c r="I38" s="75"/>
    </row>
    <row r="39" spans="1:9" x14ac:dyDescent="0.25">
      <c r="A39" s="32" t="s">
        <v>89</v>
      </c>
      <c r="B39" s="37" t="s">
        <v>76</v>
      </c>
      <c r="C39" s="32" t="s">
        <v>86</v>
      </c>
      <c r="D39" s="41"/>
      <c r="E39" s="41"/>
      <c r="F39" s="75"/>
      <c r="G39" s="75"/>
      <c r="H39" s="75"/>
      <c r="I39" s="75"/>
    </row>
    <row r="40" spans="1:9" x14ac:dyDescent="0.25">
      <c r="A40" s="32" t="s">
        <v>89</v>
      </c>
      <c r="B40" s="37" t="s">
        <v>78</v>
      </c>
      <c r="C40" s="32" t="str">
        <f>CONCATENATE("Build the V2 environment of ",H2)</f>
        <v>Build the V2 environment of To here</v>
      </c>
      <c r="D40" s="41"/>
      <c r="E40" s="41"/>
      <c r="F40" s="75"/>
      <c r="G40" s="75"/>
      <c r="H40" s="75"/>
      <c r="I40" s="75"/>
    </row>
    <row r="41" spans="1:9" x14ac:dyDescent="0.25">
      <c r="A41" s="32" t="s">
        <v>89</v>
      </c>
      <c r="B41" s="37" t="s">
        <v>77</v>
      </c>
      <c r="C41" s="32" t="str">
        <f>CONCATENATE("Execute the 'C' orders of the TOS '",C9,"' on the master BES")</f>
        <v>Execute the 'C' orders of the TOS 'PACK-XXX-XXXX' on the master BES</v>
      </c>
      <c r="D41" s="41"/>
      <c r="E41" s="41"/>
      <c r="F41" s="75"/>
      <c r="G41" s="75"/>
      <c r="H41" s="75"/>
      <c r="I41" s="75"/>
    </row>
    <row r="42" spans="1:9" x14ac:dyDescent="0.25">
      <c r="A42" s="32" t="s">
        <v>89</v>
      </c>
      <c r="B42" s="37" t="s">
        <v>76</v>
      </c>
      <c r="C42" s="32" t="s">
        <v>87</v>
      </c>
      <c r="D42" s="41"/>
      <c r="E42" s="41"/>
      <c r="F42" s="75"/>
      <c r="G42" s="75"/>
      <c r="H42" s="75"/>
      <c r="I42" s="75"/>
    </row>
    <row r="43" spans="1:9" x14ac:dyDescent="0.25">
      <c r="A43" s="32" t="s">
        <v>89</v>
      </c>
      <c r="B43" s="37" t="s">
        <v>79</v>
      </c>
      <c r="C43" s="32" t="s">
        <v>71</v>
      </c>
      <c r="D43" s="41"/>
      <c r="E43" s="41"/>
      <c r="F43" s="75"/>
      <c r="G43" s="75"/>
      <c r="H43" s="75"/>
      <c r="I43" s="75"/>
    </row>
    <row r="44" spans="1:9" x14ac:dyDescent="0.25">
      <c r="A44" s="32" t="s">
        <v>89</v>
      </c>
      <c r="B44" s="37" t="s">
        <v>79</v>
      </c>
      <c r="C44" s="32" t="s">
        <v>70</v>
      </c>
      <c r="D44" s="41"/>
      <c r="E44" s="41"/>
      <c r="F44" s="75"/>
      <c r="G44" s="75"/>
      <c r="H44" s="75"/>
      <c r="I44" s="75"/>
    </row>
    <row r="45" spans="1:9" x14ac:dyDescent="0.25">
      <c r="G45" s="38"/>
    </row>
  </sheetData>
  <dataConsolidate/>
  <customSheetViews>
    <customSheetView guid="{11DA137D-FA21-4924-8652-5200ADF70677}" showAutoFilter="1">
      <pane ySplit="14" topLeftCell="A15" activePane="bottomLeft" state="frozen"/>
      <selection pane="bottomLeft" activeCell="E4" sqref="E4"/>
      <pageMargins left="0.7" right="0.7" top="0.75" bottom="0.75" header="0.3" footer="0.3"/>
      <pageSetup paperSize="9" orientation="portrait" r:id="rId1"/>
      <autoFilter ref="A14:J36"/>
    </customSheetView>
  </customSheetViews>
  <mergeCells count="37">
    <mergeCell ref="A13:I13"/>
    <mergeCell ref="A2:B2"/>
    <mergeCell ref="A7:B7"/>
    <mergeCell ref="A9:B9"/>
    <mergeCell ref="A11:B11"/>
    <mergeCell ref="A4:B4"/>
    <mergeCell ref="F14:I14"/>
    <mergeCell ref="F15:I15"/>
    <mergeCell ref="F16:I16"/>
    <mergeCell ref="F17:I17"/>
    <mergeCell ref="F18:I18"/>
    <mergeCell ref="F19:I19"/>
    <mergeCell ref="F20:I20"/>
    <mergeCell ref="F21:I21"/>
    <mergeCell ref="F22:I22"/>
    <mergeCell ref="F23:I23"/>
    <mergeCell ref="F24:I24"/>
    <mergeCell ref="F25:I25"/>
    <mergeCell ref="F26:I26"/>
    <mergeCell ref="F27:I27"/>
    <mergeCell ref="F28:I28"/>
    <mergeCell ref="F29:I29"/>
    <mergeCell ref="F30:I30"/>
    <mergeCell ref="F31:I31"/>
    <mergeCell ref="F32:I32"/>
    <mergeCell ref="F33:I33"/>
    <mergeCell ref="F34:I34"/>
    <mergeCell ref="F35:I35"/>
    <mergeCell ref="F36:I36"/>
    <mergeCell ref="F37:I37"/>
    <mergeCell ref="F38:I38"/>
    <mergeCell ref="F44:I44"/>
    <mergeCell ref="F39:I39"/>
    <mergeCell ref="F40:I40"/>
    <mergeCell ref="F41:I41"/>
    <mergeCell ref="F42:I42"/>
    <mergeCell ref="F43:I43"/>
  </mergeCells>
  <conditionalFormatting sqref="E16:E17 D15:F15 F16:F44">
    <cfRule type="expression" dxfId="323" priority="573">
      <formula>$D15="[ Bypassed ]"</formula>
    </cfRule>
    <cfRule type="expression" dxfId="322" priority="574">
      <formula>$D15="[ Done         ]"</formula>
    </cfRule>
    <cfRule type="expression" dxfId="321" priority="575">
      <formula>$D15="[ Pending… ]"</formula>
    </cfRule>
    <cfRule type="expression" dxfId="320" priority="576">
      <formula>$D15="[ To do        ]"</formula>
    </cfRule>
  </conditionalFormatting>
  <conditionalFormatting sqref="E19">
    <cfRule type="expression" dxfId="319" priority="501">
      <formula>$D19="[ Bypassed ]"</formula>
    </cfRule>
    <cfRule type="expression" dxfId="318" priority="502">
      <formula>$D19="[ Done         ]"</formula>
    </cfRule>
    <cfRule type="expression" dxfId="317" priority="503">
      <formula>$D19="[ Pending… ]"</formula>
    </cfRule>
    <cfRule type="expression" dxfId="316" priority="504">
      <formula>$D19="[ To do        ]"</formula>
    </cfRule>
  </conditionalFormatting>
  <conditionalFormatting sqref="E20">
    <cfRule type="expression" dxfId="315" priority="497">
      <formula>$D20="[ Bypassed ]"</formula>
    </cfRule>
    <cfRule type="expression" dxfId="314" priority="498">
      <formula>$D20="[ Done         ]"</formula>
    </cfRule>
    <cfRule type="expression" dxfId="313" priority="499">
      <formula>$D20="[ Pending… ]"</formula>
    </cfRule>
    <cfRule type="expression" dxfId="312" priority="500">
      <formula>$D20="[ To do        ]"</formula>
    </cfRule>
  </conditionalFormatting>
  <conditionalFormatting sqref="E39">
    <cfRule type="expression" dxfId="311" priority="473">
      <formula>$D39="[ Bypassed ]"</formula>
    </cfRule>
    <cfRule type="expression" dxfId="310" priority="474">
      <formula>$D39="[ Done         ]"</formula>
    </cfRule>
    <cfRule type="expression" dxfId="309" priority="475">
      <formula>$D39="[ Pending… ]"</formula>
    </cfRule>
    <cfRule type="expression" dxfId="308" priority="476">
      <formula>$D39="[ To do        ]"</formula>
    </cfRule>
  </conditionalFormatting>
  <conditionalFormatting sqref="E40">
    <cfRule type="expression" dxfId="307" priority="449">
      <formula>$D40="[ Bypassed ]"</formula>
    </cfRule>
    <cfRule type="expression" dxfId="306" priority="450">
      <formula>$D40="[ Done         ]"</formula>
    </cfRule>
    <cfRule type="expression" dxfId="305" priority="451">
      <formula>$D40="[ Pending… ]"</formula>
    </cfRule>
    <cfRule type="expression" dxfId="304" priority="452">
      <formula>$D40="[ To do        ]"</formula>
    </cfRule>
  </conditionalFormatting>
  <conditionalFormatting sqref="D15:D17 D20:D21 D23:E26 D23:D29 D34:E35 D34:D44">
    <cfRule type="expression" dxfId="303" priority="333">
      <formula>$D15="[ Bypassed ]"</formula>
    </cfRule>
    <cfRule type="expression" dxfId="302" priority="334">
      <formula>$D15="[ Done         ]"</formula>
    </cfRule>
    <cfRule type="expression" dxfId="301" priority="335">
      <formula>$D15="[ Pending… ]"</formula>
    </cfRule>
    <cfRule type="expression" dxfId="300" priority="336">
      <formula>$D15="[ To do        ]"</formula>
    </cfRule>
  </conditionalFormatting>
  <conditionalFormatting sqref="D40">
    <cfRule type="expression" dxfId="299" priority="321">
      <formula>$D40="[ Bypassed ]"</formula>
    </cfRule>
    <cfRule type="expression" dxfId="298" priority="322">
      <formula>$D40="[ Done         ]"</formula>
    </cfRule>
    <cfRule type="expression" dxfId="297" priority="323">
      <formula>$D40="[ Pending… ]"</formula>
    </cfRule>
    <cfRule type="expression" dxfId="296" priority="324">
      <formula>$D40="[ To do        ]"</formula>
    </cfRule>
  </conditionalFormatting>
  <conditionalFormatting sqref="D19">
    <cfRule type="expression" dxfId="295" priority="197">
      <formula>$D19="[ Bypassed ]"</formula>
    </cfRule>
    <cfRule type="expression" dxfId="294" priority="198">
      <formula>$D19="[ Done         ]"</formula>
    </cfRule>
    <cfRule type="expression" dxfId="293" priority="199">
      <formula>$D19="[ Pending… ]"</formula>
    </cfRule>
    <cfRule type="expression" dxfId="292" priority="200">
      <formula>$D19="[ To do        ]"</formula>
    </cfRule>
  </conditionalFormatting>
  <conditionalFormatting sqref="E19">
    <cfRule type="expression" dxfId="291" priority="193">
      <formula>$D19="[ Bypassed ]"</formula>
    </cfRule>
    <cfRule type="expression" dxfId="290" priority="194">
      <formula>$D19="[ Done         ]"</formula>
    </cfRule>
    <cfRule type="expression" dxfId="289" priority="195">
      <formula>$D19="[ Pending… ]"</formula>
    </cfRule>
    <cfRule type="expression" dxfId="288" priority="196">
      <formula>$D19="[ To do        ]"</formula>
    </cfRule>
  </conditionalFormatting>
  <conditionalFormatting sqref="D18:E18">
    <cfRule type="expression" dxfId="287" priority="181">
      <formula>$D18="[ Bypassed ]"</formula>
    </cfRule>
    <cfRule type="expression" dxfId="286" priority="182">
      <formula>$D18="[ Done         ]"</formula>
    </cfRule>
    <cfRule type="expression" dxfId="285" priority="183">
      <formula>$D18="[ Pending… ]"</formula>
    </cfRule>
    <cfRule type="expression" dxfId="284" priority="184">
      <formula>$D18="[ To do        ]"</formula>
    </cfRule>
  </conditionalFormatting>
  <conditionalFormatting sqref="E21">
    <cfRule type="expression" dxfId="283" priority="169">
      <formula>$D21="[ Bypassed ]"</formula>
    </cfRule>
    <cfRule type="expression" dxfId="282" priority="170">
      <formula>$D21="[ Done         ]"</formula>
    </cfRule>
    <cfRule type="expression" dxfId="281" priority="171">
      <formula>$D21="[ Pending… ]"</formula>
    </cfRule>
    <cfRule type="expression" dxfId="280" priority="172">
      <formula>$D21="[ To do        ]"</formula>
    </cfRule>
  </conditionalFormatting>
  <conditionalFormatting sqref="D22">
    <cfRule type="expression" dxfId="279" priority="157">
      <formula>$D22="[ Bypassed ]"</formula>
    </cfRule>
    <cfRule type="expression" dxfId="278" priority="158">
      <formula>$D22="[ Done         ]"</formula>
    </cfRule>
    <cfRule type="expression" dxfId="277" priority="159">
      <formula>$D22="[ Pending… ]"</formula>
    </cfRule>
    <cfRule type="expression" dxfId="276" priority="160">
      <formula>$D22="[ To do        ]"</formula>
    </cfRule>
  </conditionalFormatting>
  <conditionalFormatting sqref="E22">
    <cfRule type="expression" dxfId="275" priority="145">
      <formula>$D22="[ Bypassed ]"</formula>
    </cfRule>
    <cfRule type="expression" dxfId="274" priority="146">
      <formula>$D22="[ Done         ]"</formula>
    </cfRule>
    <cfRule type="expression" dxfId="273" priority="147">
      <formula>$D22="[ Pending… ]"</formula>
    </cfRule>
    <cfRule type="expression" dxfId="272" priority="148">
      <formula>$D22="[ To do        ]"</formula>
    </cfRule>
  </conditionalFormatting>
  <conditionalFormatting sqref="E27:E28">
    <cfRule type="expression" dxfId="271" priority="133">
      <formula>$D27="[ Bypassed ]"</formula>
    </cfRule>
    <cfRule type="expression" dxfId="270" priority="134">
      <formula>$D27="[ Done         ]"</formula>
    </cfRule>
    <cfRule type="expression" dxfId="269" priority="135">
      <formula>$D27="[ Pending… ]"</formula>
    </cfRule>
    <cfRule type="expression" dxfId="268" priority="136">
      <formula>$D27="[ To do        ]"</formula>
    </cfRule>
  </conditionalFormatting>
  <conditionalFormatting sqref="D31">
    <cfRule type="expression" dxfId="267" priority="121">
      <formula>$D31="[ Bypassed ]"</formula>
    </cfRule>
    <cfRule type="expression" dxfId="266" priority="122">
      <formula>$D31="[ Done         ]"</formula>
    </cfRule>
    <cfRule type="expression" dxfId="265" priority="123">
      <formula>$D31="[ Pending… ]"</formula>
    </cfRule>
    <cfRule type="expression" dxfId="264" priority="124">
      <formula>$D31="[ To do        ]"</formula>
    </cfRule>
  </conditionalFormatting>
  <conditionalFormatting sqref="E31">
    <cfRule type="expression" dxfId="263" priority="109">
      <formula>$D31="[ Bypassed ]"</formula>
    </cfRule>
    <cfRule type="expression" dxfId="262" priority="110">
      <formula>$D31="[ Done         ]"</formula>
    </cfRule>
    <cfRule type="expression" dxfId="261" priority="111">
      <formula>$D31="[ Pending… ]"</formula>
    </cfRule>
    <cfRule type="expression" dxfId="260" priority="112">
      <formula>$D31="[ To do        ]"</formula>
    </cfRule>
  </conditionalFormatting>
  <conditionalFormatting sqref="D32">
    <cfRule type="expression" dxfId="259" priority="97">
      <formula>$D32="[ Bypassed ]"</formula>
    </cfRule>
    <cfRule type="expression" dxfId="258" priority="98">
      <formula>$D32="[ Done         ]"</formula>
    </cfRule>
    <cfRule type="expression" dxfId="257" priority="99">
      <formula>$D32="[ Pending… ]"</formula>
    </cfRule>
    <cfRule type="expression" dxfId="256" priority="100">
      <formula>$D32="[ To do        ]"</formula>
    </cfRule>
  </conditionalFormatting>
  <conditionalFormatting sqref="E32">
    <cfRule type="expression" dxfId="255" priority="85">
      <formula>$D32="[ Bypassed ]"</formula>
    </cfRule>
    <cfRule type="expression" dxfId="254" priority="86">
      <formula>$D32="[ Done         ]"</formula>
    </cfRule>
    <cfRule type="expression" dxfId="253" priority="87">
      <formula>$D32="[ Pending… ]"</formula>
    </cfRule>
    <cfRule type="expression" dxfId="252" priority="88">
      <formula>$D32="[ To do        ]"</formula>
    </cfRule>
  </conditionalFormatting>
  <conditionalFormatting sqref="D33">
    <cfRule type="expression" dxfId="251" priority="73">
      <formula>$D33="[ Bypassed ]"</formula>
    </cfRule>
    <cfRule type="expression" dxfId="250" priority="74">
      <formula>$D33="[ Done         ]"</formula>
    </cfRule>
    <cfRule type="expression" dxfId="249" priority="75">
      <formula>$D33="[ Pending… ]"</formula>
    </cfRule>
    <cfRule type="expression" dxfId="248" priority="76">
      <formula>$D33="[ To do        ]"</formula>
    </cfRule>
  </conditionalFormatting>
  <conditionalFormatting sqref="E33">
    <cfRule type="expression" dxfId="247" priority="61">
      <formula>$D33="[ Bypassed ]"</formula>
    </cfRule>
    <cfRule type="expression" dxfId="246" priority="62">
      <formula>$D33="[ Done         ]"</formula>
    </cfRule>
    <cfRule type="expression" dxfId="245" priority="63">
      <formula>$D33="[ Pending… ]"</formula>
    </cfRule>
    <cfRule type="expression" dxfId="244" priority="64">
      <formula>$D33="[ To do        ]"</formula>
    </cfRule>
  </conditionalFormatting>
  <conditionalFormatting sqref="D41:E42">
    <cfRule type="expression" dxfId="243" priority="45">
      <formula>$D41="[ Bypassed ]"</formula>
    </cfRule>
    <cfRule type="expression" dxfId="242" priority="46">
      <formula>$D41="[ Done         ]"</formula>
    </cfRule>
    <cfRule type="expression" dxfId="241" priority="47">
      <formula>$D41="[ Pending… ]"</formula>
    </cfRule>
    <cfRule type="expression" dxfId="240" priority="48">
      <formula>$D41="[ To do        ]"</formula>
    </cfRule>
  </conditionalFormatting>
  <conditionalFormatting sqref="D43:D44">
    <cfRule type="expression" dxfId="239" priority="37">
      <formula>$D43="[ Bypassed ]"</formula>
    </cfRule>
    <cfRule type="expression" dxfId="238" priority="38">
      <formula>$D43="[ Done         ]"</formula>
    </cfRule>
    <cfRule type="expression" dxfId="237" priority="39">
      <formula>$D43="[ Pending… ]"</formula>
    </cfRule>
    <cfRule type="expression" dxfId="236" priority="40">
      <formula>$D43="[ To do        ]"</formula>
    </cfRule>
  </conditionalFormatting>
  <conditionalFormatting sqref="E43">
    <cfRule type="expression" dxfId="235" priority="29">
      <formula>$D43="[ Bypassed ]"</formula>
    </cfRule>
    <cfRule type="expression" dxfId="234" priority="30">
      <formula>$D43="[ Done         ]"</formula>
    </cfRule>
    <cfRule type="expression" dxfId="233" priority="31">
      <formula>$D43="[ Pending… ]"</formula>
    </cfRule>
    <cfRule type="expression" dxfId="232" priority="32">
      <formula>$D43="[ To do        ]"</formula>
    </cfRule>
  </conditionalFormatting>
  <conditionalFormatting sqref="E44">
    <cfRule type="expression" dxfId="231" priority="21">
      <formula>$D44="[ Bypassed ]"</formula>
    </cfRule>
    <cfRule type="expression" dxfId="230" priority="22">
      <formula>$D44="[ Done         ]"</formula>
    </cfRule>
    <cfRule type="expression" dxfId="229" priority="23">
      <formula>$D44="[ Pending… ]"</formula>
    </cfRule>
    <cfRule type="expression" dxfId="228" priority="24">
      <formula>$D44="[ To do        ]"</formula>
    </cfRule>
  </conditionalFormatting>
  <dataValidations count="1">
    <dataValidation type="date" allowBlank="1" showInputMessage="1" showErrorMessage="1" sqref="H7 F7 C10 C3:C6">
      <formula1>40817</formula1>
      <formula2>77341</formula2>
    </dataValidation>
  </dataValidations>
  <hyperlinks>
    <hyperlink ref="C15" location="'List of patches'!A1" display="Making list of patches"/>
    <hyperlink ref="C17" location="'pk_check_package before'!A1" display="Check packaging on source environment"/>
  </hyperlinks>
  <pageMargins left="0.7" right="0.7" top="0.75" bottom="0.75" header="0.3" footer="0.3"/>
  <pageSetup paperSize="9" orientation="portrait" r:id="rId2"/>
  <legacyDrawing r:id="rId3"/>
  <extLst>
    <ext uri="{78C0D931-6437-407d-A8EE-F0AAD7539E65}">
      <x14:conditionalFormattings>
        <x14:conditionalFormatting xmlns:xm="http://schemas.microsoft.com/office/excel/2006/main">
          <x14:cfRule type="expression" priority="704" id="{9F02B9F1-BEB0-4541-A274-AC0917F13548}">
            <xm:f>$F$4=myStatus!$A$4</xm:f>
            <x14:dxf>
              <fill>
                <patternFill>
                  <bgColor theme="9"/>
                </patternFill>
              </fill>
            </x14:dxf>
          </x14:cfRule>
          <x14:cfRule type="expression" priority="705" id="{C86C9643-DD50-4CDB-A88F-64FD2F55BE67}">
            <xm:f>$F$4=myStatus!$A$3</xm:f>
            <x14:dxf>
              <fill>
                <patternFill patternType="solid">
                  <bgColor rgb="FFFF6969"/>
                </patternFill>
              </fill>
            </x14:dxf>
          </x14:cfRule>
          <xm:sqref>A1:I1 A2 D2:E2 G2 A4 G4 A7 D7:E7 G7 A9 D9:E9 A10:I10 A11 A12:I12 A5:H6 A3:H3 A8:I8 I2:I7 D4:E4 G9 I9</xm:sqref>
        </x14:conditionalFormatting>
        <x14:conditionalFormatting xmlns:xm="http://schemas.microsoft.com/office/excel/2006/main">
          <x14:cfRule type="expression" priority="744" id="{E31C447E-E2BB-452F-A3FE-818FC5C850ED}">
            <xm:f>$F$4=myStatus!$A$5</xm:f>
            <x14:dxf>
              <fill>
                <patternFill>
                  <bgColor rgb="FF92D050"/>
                </patternFill>
              </fill>
            </x14:dxf>
          </x14:cfRule>
          <xm:sqref>A1:I1 A2 D2:E2 G2 A4 G4 A7 D7:E7 G7 A9 D9:E9 A10:I10 A11 A12:I12 A5:H6 A3:H3 A8:I8 I2:I7 D4:E4 G9 I9</xm:sqref>
        </x14:conditionalFormatting>
        <x14:conditionalFormatting xmlns:xm="http://schemas.microsoft.com/office/excel/2006/main">
          <x14:cfRule type="expression" priority="768" id="{8E4164EA-9C8C-4700-A48D-66612CBC86F5}">
            <xm:f>$A15=myStatus!$A$6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69" id="{A4EAADDC-F20B-452B-BDE3-29C042273B88}">
            <xm:f>$A15=myStatus!$A$5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70" id="{14961E2F-0674-47E4-9D53-DE77F34694AF}">
            <xm:f>$A15=myStatus!$A$4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71" id="{43ECBE15-FB3B-42CD-9ED4-DD337D517360}">
            <xm:f>$A15=myStatus!$A$3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B41 C42 C17 B19:C40 B16:C16 E16:E17 A15:F15 E19:E20 E23:E26 E34:E40 E29:E30 D41:E42 C43:E44 F16:F44</xm:sqref>
        </x14:conditionalFormatting>
        <x14:conditionalFormatting xmlns:xm="http://schemas.microsoft.com/office/excel/2006/main">
          <x14:cfRule type="expression" priority="577" id="{30EE5342-FC00-470E-B484-A531D86AC4EF}">
            <xm:f>$A15='\Users\gletellier\Documents\201401\17.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8" id="{05C2B866-AA71-4213-8914-13B4276933C7}">
            <xm:f>$A15='\Users\gletellier\Documents\201401\17.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9" id="{40E7FA39-A45B-45E1-90AB-5DB724A65158}">
            <xm:f>$A15='\Users\gletellier\Documents\201401\17.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80" id="{A87E1C80-2CEF-4A1A-9B5C-302FF5F31AF6}">
            <xm:f>$A15='\Users\gletellier\Documents\201401\17.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E40 C16:C17 E16:E17 C15:F15 E19:E20 E23:E26 E34:E38 E29:E30 F16:F44</xm:sqref>
        </x14:conditionalFormatting>
        <x14:conditionalFormatting xmlns:xm="http://schemas.microsoft.com/office/excel/2006/main">
          <x14:cfRule type="expression" priority="517" id="{39C14331-7C3F-4CC5-9079-0F9B94987BA6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8" id="{7819EE04-0CC8-40B8-BA65-6BD9EF42A3EC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9" id="{04DE7090-E0B6-4361-97F0-38A99266CEE4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20" id="{63A01692-6002-4140-B972-44BB50B5C705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C22:C38</xm:sqref>
        </x14:conditionalFormatting>
        <x14:conditionalFormatting xmlns:xm="http://schemas.microsoft.com/office/excel/2006/main">
          <x14:cfRule type="expression" priority="513" id="{B824B496-39A0-4BDA-9423-012E7122F14B}">
            <xm:f>$A19='\Users\gletellier\Documents\201401\17.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4" id="{72473607-CC77-4B91-BC84-447923F29361}">
            <xm:f>$A19='\Users\gletellier\Documents\201401\17.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5" id="{98321E8E-08E6-4795-8B18-EFA46C60CED8}">
            <xm:f>$A19='\Users\gletellier\Documents\201401\17.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6" id="{684CDB4F-1EC8-458D-BB91-6C59C634C961}">
            <xm:f>$A19='\Users\gletellier\Documents\201401\17.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C19:C21 E39</xm:sqref>
        </x14:conditionalFormatting>
        <x14:conditionalFormatting xmlns:xm="http://schemas.microsoft.com/office/excel/2006/main">
          <x14:cfRule type="expression" priority="461" id="{82DB31DE-CBD9-41F1-B5A6-B5F093F98794}">
            <xm:f>$A39='\Users\gletellier\Documents\201401\17.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2" id="{DC5600F0-5667-4FE9-81B3-12A0E0C242F9}">
            <xm:f>$A39='\Users\gletellier\Documents\201401\17.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3" id="{9D2A9D42-3E81-4741-AE32-ED194E44ED41}">
            <xm:f>$A39='\Users\gletellier\Documents\201401\17.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4" id="{794D6D6E-0B08-43B3-B351-D148217CB4D4}">
            <xm:f>$A39='\Users\gletellier\Documents\201401\17.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C39</xm:sqref>
        </x14:conditionalFormatting>
        <x14:conditionalFormatting xmlns:xm="http://schemas.microsoft.com/office/excel/2006/main">
          <x14:cfRule type="expression" priority="457" id="{B41E5851-3196-48BA-9B96-FA0723E4EBEC}">
            <xm:f>$A43=myStatus!$A$6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58" id="{AFCBA421-A01B-4B4A-9B61-C32CEA06E002}">
            <xm:f>$A43=myStatus!$A$5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59" id="{170A8D81-A2B9-422C-8231-28B6435E4184}">
            <xm:f>$A43=myStatus!$A$4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0" id="{E26CF22A-1248-4BF3-9702-54F7490A22E9}">
            <xm:f>$A43=myStatus!$A$3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B43:B44</xm:sqref>
        </x14:conditionalFormatting>
        <x14:conditionalFormatting xmlns:xm="http://schemas.microsoft.com/office/excel/2006/main">
          <x14:cfRule type="expression" priority="437" id="{5DC9204B-93B3-45F1-AF2A-1372A7D30A96}">
            <xm:f>$A40='\Users\gletellier\Documents\201401\17.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8" id="{AF02E9BC-C215-4E16-AAAE-44BE4DC8BD0B}">
            <xm:f>$A40='\Users\gletellier\Documents\201401\17.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9" id="{95287C05-2199-4F82-B18C-07682C9BD72C}">
            <xm:f>$A40='\Users\gletellier\Documents\201401\17.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40" id="{EDB9C513-C79E-4C2D-8020-CC4849D4F849}">
            <xm:f>$A40='\Users\gletellier\Documents\201401\17.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C40</xm:sqref>
        </x14:conditionalFormatting>
        <x14:conditionalFormatting xmlns:xm="http://schemas.microsoft.com/office/excel/2006/main">
          <x14:cfRule type="expression" priority="373" id="{F106BE2F-D80C-4223-9593-29ADA62084BE}">
            <xm:f>$A17=myStatus!$A$6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4" id="{C841F586-E613-4BA3-B563-BA8135BB593B}">
            <xm:f>$A17=myStatus!$A$5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5" id="{F78BD184-3126-4AE1-B98B-405C865A4AF2}">
            <xm:f>$A17=myStatus!$A$4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6" id="{04B347C3-B342-4712-97E6-D451CC509763}">
            <xm:f>$A17=myStatus!$A$3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B17</xm:sqref>
        </x14:conditionalFormatting>
        <x14:conditionalFormatting xmlns:xm="http://schemas.microsoft.com/office/excel/2006/main">
          <x14:cfRule type="expression" priority="365" id="{F3332626-809B-4DFD-89D2-0FDD2F363E2A}">
            <xm:f>$A42=myStatus!$A$6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6" id="{63F7C3EF-1348-47EA-A680-D9CD7BB2FFD2}">
            <xm:f>$A42=myStatus!$A$5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7" id="{E9D2A332-AE32-4527-BB02-E90639D96DD5}">
            <xm:f>$A42=myStatus!$A$4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8" id="{88CC5AE6-2D2C-4A5D-A2AA-0444C544659E}">
            <xm:f>$A42=myStatus!$A$3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B42</xm:sqref>
        </x14:conditionalFormatting>
        <x14:conditionalFormatting xmlns:xm="http://schemas.microsoft.com/office/excel/2006/main">
          <x14:cfRule type="expression" priority="361" id="{E57E84E9-B0CD-4D6F-9BDE-FEB3740C3FA3}">
            <xm:f>$A41=myStatus!$A$6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2" id="{EAE03709-B0E0-42D3-B405-C28636626CCA}">
            <xm:f>$A41=myStatus!$A$5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3" id="{7FD64FE7-59C6-426C-8B1E-F56C30C9D06B}">
            <xm:f>$A41=myStatus!$A$4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4" id="{C56E6013-0B0B-47CD-8C8A-40499AB8FB0C}">
            <xm:f>$A41=myStatus!$A$3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C41</xm:sqref>
        </x14:conditionalFormatting>
        <x14:conditionalFormatting xmlns:xm="http://schemas.microsoft.com/office/excel/2006/main">
          <x14:cfRule type="expression" priority="357" id="{14D22C57-40A8-408F-A4E2-1DA0737F9F8D}">
            <xm:f>$A41='\Users\gletellier\Documents\201401\17.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8" id="{A6E98557-EC4B-4629-A5F2-684829709163}">
            <xm:f>$A41='\Users\gletellier\Documents\201401\17.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9" id="{AFEDFEA1-1DC0-4532-988C-0DD8CB7A2AD0}">
            <xm:f>$A41='\Users\gletellier\Documents\201401\17.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0" id="{FFD1689A-F30A-4089-B041-2F8537AD9DE5}">
            <xm:f>$A41='\Users\gletellier\Documents\201401\17.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C41</xm:sqref>
        </x14:conditionalFormatting>
        <x14:conditionalFormatting xmlns:xm="http://schemas.microsoft.com/office/excel/2006/main">
          <x14:cfRule type="expression" priority="341" id="{7DCF7069-3E1A-4689-8D64-FE2F02F5FA89}">
            <xm:f>$A15=myStatus!$A$6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2" id="{0141A816-AFD3-4E96-B0DB-CFE506F00E3E}">
            <xm:f>$A15=myStatus!$A$5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3" id="{1D28B13E-82C8-4E42-8D36-D6257B969BA9}">
            <xm:f>$A15=myStatus!$A$4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4" id="{E7B712F1-1083-4015-83EF-A97D6E5D8498}">
            <xm:f>$A15=myStatus!$A$3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D15:D17 D20:D21 D23:E26 D23:D29 D34:E35 D34:D44</xm:sqref>
        </x14:conditionalFormatting>
        <x14:conditionalFormatting xmlns:xm="http://schemas.microsoft.com/office/excel/2006/main">
          <x14:cfRule type="expression" priority="337" id="{C739D071-B6EB-47C1-960B-AECAC2286603}">
            <xm:f>$A15='\Users\gletellier\Documents\201401\17.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8" id="{FBC88B15-38CD-4132-A493-0F8425E578CB}">
            <xm:f>$A15='\Users\gletellier\Documents\201401\17.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9" id="{AF70B980-73CA-4CA2-A93F-978BE354E938}">
            <xm:f>$A15='\Users\gletellier\Documents\201401\17.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0" id="{28A432FE-F836-48ED-B46E-BCBFAA677466}">
            <xm:f>$A15='\Users\gletellier\Documents\201401\17.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D15:D17 D20:D21 D23:E26 D23:D29 D34:E35 D34:D44</xm:sqref>
        </x14:conditionalFormatting>
        <x14:conditionalFormatting xmlns:xm="http://schemas.microsoft.com/office/excel/2006/main">
          <x14:cfRule type="expression" priority="329" id="{311EC4EB-6CA8-49ED-8C4D-BFEF4DE5ADDA}">
            <xm:f>$A40=myStatus!$A$6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0" id="{44216C3A-FB03-41B9-9215-922E9CD88773}">
            <xm:f>$A40=myStatus!$A$5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1" id="{A730B353-FAF9-4FCC-8FD5-C05ACE5123E6}">
            <xm:f>$A40=myStatus!$A$4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2" id="{80D53C61-A013-41C9-A883-DAD4778C7CBE}">
            <xm:f>$A40=myStatus!$A$3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D40</xm:sqref>
        </x14:conditionalFormatting>
        <x14:conditionalFormatting xmlns:xm="http://schemas.microsoft.com/office/excel/2006/main">
          <x14:cfRule type="expression" priority="325" id="{7C7FBF57-0210-4F77-A90E-5B5C1A81E0E6}">
            <xm:f>$A40='\Users\gletellier\Documents\201401\17.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6" id="{5DA97FF1-6A2B-47D5-9C3A-14C5579C7AA4}">
            <xm:f>$A40='\Users\gletellier\Documents\201401\17.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7" id="{16D7305A-008B-49B3-B778-0C83C0BEDDEB}">
            <xm:f>$A40='\Users\gletellier\Documents\201401\17.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8" id="{6BA00AFD-73D1-4CB0-BEC0-47FC2F73BC14}">
            <xm:f>$A40='\Users\gletellier\Documents\201401\17.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D40</xm:sqref>
        </x14:conditionalFormatting>
        <x14:conditionalFormatting xmlns:xm="http://schemas.microsoft.com/office/excel/2006/main">
          <x14:cfRule type="expression" priority="241" id="{AD89E0BB-872C-4892-AA97-D75309950D5C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2" id="{65D0D217-65EE-4DE5-AAF9-D52C171515B6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3" id="{02D279A3-8994-4A35-9B08-2E412B14B730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4" id="{BE20D574-2359-48AA-A17C-C719AA5B0D97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B18:C18</xm:sqref>
        </x14:conditionalFormatting>
        <x14:conditionalFormatting xmlns:xm="http://schemas.microsoft.com/office/excel/2006/main">
          <x14:cfRule type="expression" priority="205" id="{4F0F2475-CA4D-498F-A203-2EB0A2AD745D}">
            <xm:f>$A19=myStatus!$A$6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6" id="{75C47D1C-1DFE-43C4-BED3-69026EB6656F}">
            <xm:f>$A19=myStatus!$A$5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7" id="{33C6F1F8-5E3C-47BA-BE6A-0A7F437DF069}">
            <xm:f>$A19=myStatus!$A$4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8" id="{EA6002E9-FE1D-4C27-8E36-1EFF08A1E6E8}">
            <xm:f>$A19=myStatus!$A$3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D19</xm:sqref>
        </x14:conditionalFormatting>
        <x14:conditionalFormatting xmlns:xm="http://schemas.microsoft.com/office/excel/2006/main">
          <x14:cfRule type="expression" priority="201" id="{E5F5601C-73AF-4260-A84C-C30C0666C13D}">
            <xm:f>$A19='\Users\gletellier\Documents\201401\17.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2" id="{58D6E660-1BE4-4405-AAF6-1625847D37AF}">
            <xm:f>$A19='\Users\gletellier\Documents\201401\17.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3" id="{2B530885-C012-404A-99CE-4F508A69490D}">
            <xm:f>$A19='\Users\gletellier\Documents\201401\17.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4" id="{60BCBAE9-F404-44E7-B21C-5BADAC6071AA}">
            <xm:f>$A19='\Users\gletellier\Documents\201401\17.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D19</xm:sqref>
        </x14:conditionalFormatting>
        <x14:conditionalFormatting xmlns:xm="http://schemas.microsoft.com/office/excel/2006/main">
          <x14:cfRule type="expression" priority="189" id="{3094B48D-E08D-496F-A426-B879CA8A92C9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0" id="{E49E74CD-8D54-4662-996F-5F3B13B9A166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1" id="{AA46F625-6474-4B91-A2EF-D4F24A4E2AE4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2" id="{6F79D012-1792-4A79-AF6C-AB2CE89452E3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D18:E18</xm:sqref>
        </x14:conditionalFormatting>
        <x14:conditionalFormatting xmlns:xm="http://schemas.microsoft.com/office/excel/2006/main">
          <x14:cfRule type="expression" priority="185" id="{B6CBD616-4434-4BA7-A867-B019D7938122}">
            <xm:f>$A18='\Users\gletellier\Documents\201401\17.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6" id="{9E7331DF-F451-4C99-911B-5A0979770ED2}">
            <xm:f>$A18='\Users\gletellier\Documents\201401\17.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7" id="{67A2D079-05A7-43FC-8F84-38ED6E987D23}">
            <xm:f>$A18='\Users\gletellier\Documents\201401\17.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8" id="{63D10CA9-8F56-4445-82C9-973BA3222EDE}">
            <xm:f>$A18='\Users\gletellier\Documents\201401\17.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D18:E18</xm:sqref>
        </x14:conditionalFormatting>
        <x14:conditionalFormatting xmlns:xm="http://schemas.microsoft.com/office/excel/2006/main">
          <x14:cfRule type="expression" priority="177" id="{E3940BF1-F86C-417A-B00A-AD2A9BD4A98D}">
            <xm:f>$A21=myStatus!$A$6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8" id="{5004513D-59E6-4623-8ADA-1FFE516D4A0C}">
            <xm:f>$A21=myStatus!$A$5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9" id="{71203CD5-D375-4842-AE51-DDFE5DDBB263}">
            <xm:f>$A21=myStatus!$A$4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0" id="{3DABB416-4306-45A8-809D-B52B5AA73DCF}">
            <xm:f>$A21=myStatus!$A$3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E21</xm:sqref>
        </x14:conditionalFormatting>
        <x14:conditionalFormatting xmlns:xm="http://schemas.microsoft.com/office/excel/2006/main">
          <x14:cfRule type="expression" priority="173" id="{7488AFBA-6329-4EFF-97CF-881159409F5B}">
            <xm:f>$A21='\Users\gletellier\Documents\201401\17.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4" id="{87C64BED-C251-4FE8-A181-15082C7DC7FF}">
            <xm:f>$A21='\Users\gletellier\Documents\201401\17.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5" id="{E9C8C6BE-F9E7-4264-BD07-AE725F1BB520}">
            <xm:f>$A21='\Users\gletellier\Documents\201401\17.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6" id="{AE49170D-D321-42E8-9AE6-7CD547A80FC1}">
            <xm:f>$A21='\Users\gletellier\Documents\201401\17.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E21</xm:sqref>
        </x14:conditionalFormatting>
        <x14:conditionalFormatting xmlns:xm="http://schemas.microsoft.com/office/excel/2006/main">
          <x14:cfRule type="expression" priority="165" id="{310B1CC6-9963-4B0C-9161-C2BFC06DC7D2}">
            <xm:f>$A22=myStatus!$A$6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6" id="{010BB31B-BF05-4491-8089-81FFCC0C079A}">
            <xm:f>$A22=myStatus!$A$5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7" id="{470F6089-2F65-4479-B96C-65EB590872B7}">
            <xm:f>$A22=myStatus!$A$4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8" id="{59823B98-9C0D-4F5B-826E-CF9C30748C22}">
            <xm:f>$A22=myStatus!$A$3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D22</xm:sqref>
        </x14:conditionalFormatting>
        <x14:conditionalFormatting xmlns:xm="http://schemas.microsoft.com/office/excel/2006/main">
          <x14:cfRule type="expression" priority="161" id="{3AE9EA2B-3A71-4B9F-AC62-CA0641B092D9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2" id="{A94AA1F8-05AD-4EA1-82BA-99289137D8F6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3" id="{9F7B06A1-EE0F-4CF3-BFF4-82E528F3E557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4" id="{B6ABC2EC-C758-4DD0-8EDA-9E6C6105D1B7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D22</xm:sqref>
        </x14:conditionalFormatting>
        <x14:conditionalFormatting xmlns:xm="http://schemas.microsoft.com/office/excel/2006/main">
          <x14:cfRule type="expression" priority="153" id="{04B95AB2-C1A9-4DAD-B0E6-1DE9E7875A1E}">
            <xm:f>$A22=myStatus!$A$6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4" id="{F4F30328-2A8D-4B53-9D38-B876DB94E290}">
            <xm:f>$A22=myStatus!$A$5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5" id="{A26E003A-DA80-44A6-9686-4014693E0F24}">
            <xm:f>$A22=myStatus!$A$4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6" id="{4417B281-ABA0-4AC3-AC70-2531F6BFE2F8}">
            <xm:f>$A22=myStatus!$A$3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E22</xm:sqref>
        </x14:conditionalFormatting>
        <x14:conditionalFormatting xmlns:xm="http://schemas.microsoft.com/office/excel/2006/main">
          <x14:cfRule type="expression" priority="149" id="{9D6EF5BB-24B7-42C5-84E2-6327D9737DF0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0" id="{4E736E25-AADD-411C-BB42-4E6BA839B6CA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1" id="{F23BD032-23EF-4016-8985-3BC12B327984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2" id="{EB6D3987-465F-4B07-9349-708439A167CE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E22</xm:sqref>
        </x14:conditionalFormatting>
        <x14:conditionalFormatting xmlns:xm="http://schemas.microsoft.com/office/excel/2006/main">
          <x14:cfRule type="expression" priority="141" id="{060EB503-3617-485B-8F8A-987E44B82C5F}">
            <xm:f>$A27=myStatus!$A$6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2" id="{1C75A10C-BB4A-4762-A1F4-02B4FD78683B}">
            <xm:f>$A27=myStatus!$A$5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3" id="{A7E87A9E-C899-4819-8442-D5924346A521}">
            <xm:f>$A27=myStatus!$A$4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4" id="{3117EC15-3B0E-4B03-AA2A-37CFF0310276}">
            <xm:f>$A27=myStatus!$A$3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E27:E28</xm:sqref>
        </x14:conditionalFormatting>
        <x14:conditionalFormatting xmlns:xm="http://schemas.microsoft.com/office/excel/2006/main">
          <x14:cfRule type="expression" priority="137" id="{31CF01F2-8EAD-4EA9-9034-819EB1BCF64D}">
            <xm:f>$A27='\Users\gletellier\Documents\201401\17.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8" id="{7371679C-3CC7-43A9-B3F9-05A9423FECE1}">
            <xm:f>$A27='\Users\gletellier\Documents\201401\17.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9" id="{E8D491D8-5EAC-440F-8031-842BB6730146}">
            <xm:f>$A27='\Users\gletellier\Documents\201401\17.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0" id="{1E3C79BB-69F6-42EF-926B-510929D09EE8}">
            <xm:f>$A27='\Users\gletellier\Documents\201401\17.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E27:E28</xm:sqref>
        </x14:conditionalFormatting>
        <x14:conditionalFormatting xmlns:xm="http://schemas.microsoft.com/office/excel/2006/main">
          <x14:cfRule type="expression" priority="129" id="{C6C089CB-746D-49C9-830D-1E9BAB458138}">
            <xm:f>$A31=myStatus!$A$6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0" id="{ADFA357A-73FC-4139-A685-5F26FAB0CD3F}">
            <xm:f>$A31=myStatus!$A$5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1" id="{93459D11-E807-4D53-AE51-1026DC32B335}">
            <xm:f>$A31=myStatus!$A$4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2" id="{AABF3BE3-0C68-40D1-B82C-8B2A621D3551}">
            <xm:f>$A31=myStatus!$A$3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D31</xm:sqref>
        </x14:conditionalFormatting>
        <x14:conditionalFormatting xmlns:xm="http://schemas.microsoft.com/office/excel/2006/main">
          <x14:cfRule type="expression" priority="125" id="{EF84E1BE-1F87-43C2-8DFC-719963B01A1E}">
            <xm:f>$A31='\Users\gletellier\Documents\201401\17.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6" id="{2CEB3633-D894-4878-B620-30180BFF0D75}">
            <xm:f>$A31='\Users\gletellier\Documents\201401\17.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7" id="{9BFB14E1-F594-41A0-A407-19F75D06AF7F}">
            <xm:f>$A31='\Users\gletellier\Documents\201401\17.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8" id="{77EB4E54-E80C-4E34-B79B-8E3CAC4DABBD}">
            <xm:f>$A31='\Users\gletellier\Documents\201401\17.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D31</xm:sqref>
        </x14:conditionalFormatting>
        <x14:conditionalFormatting xmlns:xm="http://schemas.microsoft.com/office/excel/2006/main">
          <x14:cfRule type="expression" priority="117" id="{24899FFA-E747-4ED8-B9C7-BF0C224D3EC5}">
            <xm:f>$A31=myStatus!$A$6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8" id="{BB61B6A3-DB35-4186-96E6-366C6B9649DE}">
            <xm:f>$A31=myStatus!$A$5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9" id="{10CDCC04-6ED1-4DB0-B103-746B63ED9AAB}">
            <xm:f>$A31=myStatus!$A$4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0" id="{D7654253-AE04-4BAA-B322-7E07A0820DB7}">
            <xm:f>$A31=myStatus!$A$3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E31</xm:sqref>
        </x14:conditionalFormatting>
        <x14:conditionalFormatting xmlns:xm="http://schemas.microsoft.com/office/excel/2006/main">
          <x14:cfRule type="expression" priority="113" id="{A5CBCC5B-0C4D-4664-8102-487F5E4EA310}">
            <xm:f>$A31='\Users\gletellier\Documents\201401\17.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4" id="{6A3CFF2A-52EA-4F3E-9484-AE923C562555}">
            <xm:f>$A31='\Users\gletellier\Documents\201401\17.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5" id="{18724B43-040F-4F95-9EC9-41762B2B371C}">
            <xm:f>$A31='\Users\gletellier\Documents\201401\17.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6" id="{13C201E9-BCEE-451E-92D0-BCBE23560DD3}">
            <xm:f>$A31='\Users\gletellier\Documents\201401\17.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E31</xm:sqref>
        </x14:conditionalFormatting>
        <x14:conditionalFormatting xmlns:xm="http://schemas.microsoft.com/office/excel/2006/main">
          <x14:cfRule type="expression" priority="105" id="{E94B1DCE-0E80-4964-8895-CB19D35DA46C}">
            <xm:f>$A32=myStatus!$A$6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6" id="{CFDF94E9-105B-4A15-9BB7-5772BE9492E8}">
            <xm:f>$A32=myStatus!$A$5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7" id="{EAD51430-F64C-4F60-BB8D-CA76757CEA70}">
            <xm:f>$A32=myStatus!$A$4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8" id="{A16D2B24-7C21-4C75-A818-9A8D5B0280D6}">
            <xm:f>$A32=myStatus!$A$3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D32</xm:sqref>
        </x14:conditionalFormatting>
        <x14:conditionalFormatting xmlns:xm="http://schemas.microsoft.com/office/excel/2006/main">
          <x14:cfRule type="expression" priority="101" id="{9BBC0DE4-7645-453E-A7DE-0744D18B942B}">
            <xm:f>$A32='\Users\gletellier\Documents\201401\17.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2" id="{7DF94640-4871-4053-ACA5-3D3435A8E1F3}">
            <xm:f>$A32='\Users\gletellier\Documents\201401\17.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3" id="{53801371-3106-49D0-85FC-FD26E7E96A89}">
            <xm:f>$A32='\Users\gletellier\Documents\201401\17.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4" id="{DEB1CE2F-B8A6-472B-A5D7-D86FB18BCD6E}">
            <xm:f>$A32='\Users\gletellier\Documents\201401\17.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D32</xm:sqref>
        </x14:conditionalFormatting>
        <x14:conditionalFormatting xmlns:xm="http://schemas.microsoft.com/office/excel/2006/main">
          <x14:cfRule type="expression" priority="93" id="{5C4759C2-687D-448E-B27A-8BBBCAD3BCC5}">
            <xm:f>$A32=myStatus!$A$6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4" id="{868C9FCB-FB44-4717-ABB7-B39DA2889377}">
            <xm:f>$A32=myStatus!$A$5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5" id="{8251B1C6-5738-453F-9DA7-D8E7316D861A}">
            <xm:f>$A32=myStatus!$A$4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6" id="{9511EF32-D301-439C-9612-B672895B661C}">
            <xm:f>$A32=myStatus!$A$3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E32</xm:sqref>
        </x14:conditionalFormatting>
        <x14:conditionalFormatting xmlns:xm="http://schemas.microsoft.com/office/excel/2006/main">
          <x14:cfRule type="expression" priority="89" id="{1181ACEB-B96B-4252-813C-B997B222F41D}">
            <xm:f>$A32='\Users\gletellier\Documents\201401\17.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0" id="{7B351817-F8CB-4709-B195-C80E26534109}">
            <xm:f>$A32='\Users\gletellier\Documents\201401\17.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1" id="{9D32813F-C5DC-49C2-A2EA-A404EA439878}">
            <xm:f>$A32='\Users\gletellier\Documents\201401\17.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2" id="{33C691AC-BD54-46BE-8CE1-C3A800D9EA04}">
            <xm:f>$A32='\Users\gletellier\Documents\201401\17.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E32</xm:sqref>
        </x14:conditionalFormatting>
        <x14:conditionalFormatting xmlns:xm="http://schemas.microsoft.com/office/excel/2006/main">
          <x14:cfRule type="expression" priority="81" id="{C1304B09-A18A-4004-B1B4-C82B5623B657}">
            <xm:f>$A33=myStatus!$A$6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2" id="{6FC00C34-8E0C-47EF-92D0-E44128F27A50}">
            <xm:f>$A33=myStatus!$A$5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3" id="{892614C6-65D2-4E7D-A69E-765FFE9B4E00}">
            <xm:f>$A33=myStatus!$A$4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4" id="{F4D07FB0-AE92-44ED-8957-3A73110030FE}">
            <xm:f>$A33=myStatus!$A$3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D33</xm:sqref>
        </x14:conditionalFormatting>
        <x14:conditionalFormatting xmlns:xm="http://schemas.microsoft.com/office/excel/2006/main">
          <x14:cfRule type="expression" priority="77" id="{27DFC92D-442F-49AE-B669-33AC6C394022}">
            <xm:f>$A33='\Users\gletellier\Documents\201401\17.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8" id="{016AD071-CC17-4AA9-82C5-A4F27AAB8342}">
            <xm:f>$A33='\Users\gletellier\Documents\201401\17.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9" id="{1DAE925D-F48D-43DC-AE96-006EBC122329}">
            <xm:f>$A33='\Users\gletellier\Documents\201401\17.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0" id="{4E57162F-8BA4-4BCF-B249-35FAF027AF15}">
            <xm:f>$A33='\Users\gletellier\Documents\201401\17.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D33</xm:sqref>
        </x14:conditionalFormatting>
        <x14:conditionalFormatting xmlns:xm="http://schemas.microsoft.com/office/excel/2006/main">
          <x14:cfRule type="expression" priority="69" id="{37C4C67D-633A-4205-B797-496957D86A49}">
            <xm:f>$A33=myStatus!$A$6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0" id="{2C24E747-9774-4B5D-A1F7-3DC734F38685}">
            <xm:f>$A33=myStatus!$A$5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1" id="{3516C113-C2EA-4053-A2E1-94D479A1CD1A}">
            <xm:f>$A33=myStatus!$A$4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2" id="{EE5A40D6-3EFD-4FC6-8D66-0C693B2F9AAE}">
            <xm:f>$A33=myStatus!$A$3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E33</xm:sqref>
        </x14:conditionalFormatting>
        <x14:conditionalFormatting xmlns:xm="http://schemas.microsoft.com/office/excel/2006/main">
          <x14:cfRule type="expression" priority="65" id="{D83B4D24-E0D6-4537-88B0-A6405ECF19D6}">
            <xm:f>$A33='\Users\gletellier\Documents\201401\17.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6" id="{842586FF-D88B-4D71-9C65-B7AB6CDF3F0C}">
            <xm:f>$A33='\Users\gletellier\Documents\201401\17.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7" id="{0A02CC8F-6AE9-4927-97EF-C4CA7D74342A}">
            <xm:f>$A33='\Users\gletellier\Documents\201401\17.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8" id="{5A9A0C4F-B8DB-4066-8D54-0C140BFABAC9}">
            <xm:f>$A33='\Users\gletellier\Documents\201401\17.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E33</xm:sqref>
        </x14:conditionalFormatting>
        <x14:conditionalFormatting xmlns:xm="http://schemas.microsoft.com/office/excel/2006/main">
          <x14:cfRule type="expression" priority="57" id="{0066272B-3638-41A7-B4B4-19BDB3C07D9C}">
            <xm:f>$A30=myStatus!$A$6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8" id="{801D4A9D-C972-498A-B17B-AE4AC7D6A413}">
            <xm:f>$A30=myStatus!$A$5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9" id="{E43F8F22-F53E-4C4B-8083-39F3C7ACAE7D}">
            <xm:f>$A30=myStatus!$A$4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0" id="{11E5A5FE-1824-475C-959B-CCBFA77439AB}">
            <xm:f>$A30=myStatus!$A$3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D30</xm:sqref>
        </x14:conditionalFormatting>
        <x14:conditionalFormatting xmlns:xm="http://schemas.microsoft.com/office/excel/2006/main">
          <x14:cfRule type="expression" priority="53" id="{A6987D24-3D7B-4DAD-A852-B5945C7F7E23}">
            <xm:f>$A30='\Users\gletellier\Documents\201401\17.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4" id="{A65461CE-B460-4191-8612-318F2DB64AFF}">
            <xm:f>$A30='\Users\gletellier\Documents\201401\17.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5" id="{109CB120-5C03-43E8-BAC8-67C298CCF258}">
            <xm:f>$A30='\Users\gletellier\Documents\201401\17.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6" id="{BCDD2C0B-2D83-4652-835B-40E9031CD4A4}">
            <xm:f>$A30='\Users\gletellier\Documents\201401\17.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D30</xm:sqref>
        </x14:conditionalFormatting>
        <x14:conditionalFormatting xmlns:xm="http://schemas.microsoft.com/office/excel/2006/main">
          <x14:cfRule type="expression" priority="49" id="{142C8980-DD55-492A-9AAB-E85D563C6331}">
            <xm:f>$A41='\Users\gletellier\Documents\201401\17.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0" id="{E7661213-0552-44A1-A772-D36D7A5CB697}">
            <xm:f>$A41='\Users\gletellier\Documents\201401\17.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" id="{6E0AD43F-B8C4-4C28-8FA3-B9A3CE7870E7}">
            <xm:f>$A41='\Users\gletellier\Documents\201401\17.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2" id="{51518445-A2BE-45B1-8C59-32AF4ED8CF64}">
            <xm:f>$A41='\Users\gletellier\Documents\201401\17.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D41:E42</xm:sqref>
        </x14:conditionalFormatting>
        <x14:conditionalFormatting xmlns:xm="http://schemas.microsoft.com/office/excel/2006/main">
          <x14:cfRule type="expression" priority="41" id="{B0A6299B-B4C9-479C-99FA-5B10147D2EFC}">
            <xm:f>$A43='\Users\gletellier\Documents\201401\17.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2" id="{070136B6-C3A6-4E7B-A5BE-F878AD0159A3}">
            <xm:f>$A43='\Users\gletellier\Documents\201401\17.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" id="{40A6BE84-2F92-4C2C-B116-0D340180381A}">
            <xm:f>$A43='\Users\gletellier\Documents\201401\17.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4" id="{52EA0904-C76B-40FA-BC5F-E9A962497541}">
            <xm:f>$A43='\Users\gletellier\Documents\201401\17.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D43:D44</xm:sqref>
        </x14:conditionalFormatting>
        <x14:conditionalFormatting xmlns:xm="http://schemas.microsoft.com/office/excel/2006/main">
          <x14:cfRule type="expression" priority="33" id="{5E17B4F9-442D-416F-A545-67EB827B4024}">
            <xm:f>$A43='\Users\gletellier\Documents\201401\17.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" id="{2E2CCE2C-859F-4034-9FAF-1DE91E93A85A}">
            <xm:f>$A43='\Users\gletellier\Documents\201401\17.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" id="{16C63490-F895-4DF8-B495-4253B6738E19}">
            <xm:f>$A43='\Users\gletellier\Documents\201401\17.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" id="{AD68531F-8626-4197-968F-F9BC8EBE4918}">
            <xm:f>$A43='\Users\gletellier\Documents\201401\17.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E43</xm:sqref>
        </x14:conditionalFormatting>
        <x14:conditionalFormatting xmlns:xm="http://schemas.microsoft.com/office/excel/2006/main">
          <x14:cfRule type="expression" priority="25" id="{73753AFF-07F5-496C-B066-5620BCDE656D}">
            <xm:f>$A44='\Users\gletellier\Documents\201401\17.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6" id="{AAED18C5-C754-4EAF-841D-7A0250856461}">
            <xm:f>$A44='\Users\gletellier\Documents\201401\17.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7" id="{A97D29B7-728B-4C6B-8A0F-4831832634D6}">
            <xm:f>$A44='\Users\gletellier\Documents\201401\17.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8" id="{B868AC15-495E-4B60-A6D7-23A267D42813}">
            <xm:f>$A44='\Users\gletellier\Documents\201401\17.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E44</xm:sqref>
        </x14:conditionalFormatting>
        <x14:conditionalFormatting xmlns:xm="http://schemas.microsoft.com/office/excel/2006/main">
          <x14:cfRule type="expression" priority="17" id="{62A13C12-F219-47F0-AD71-17573886E99E}">
            <xm:f>$A26=myStatus!$A$6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" id="{AD6AD4EF-7971-4EBF-81E4-55D92DC998AD}">
            <xm:f>$A26=myStatus!$A$5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" id="{C1514E59-CCDE-41AD-8CE6-B3E29DB3114D}">
            <xm:f>$A26=myStatus!$A$4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" id="{B60C8E72-7282-43E6-8CE3-DCB8F45E3975}">
            <xm:f>$A26=myStatus!$A$3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A26 A36:A44</xm:sqref>
        </x14:conditionalFormatting>
        <x14:conditionalFormatting xmlns:xm="http://schemas.microsoft.com/office/excel/2006/main">
          <x14:cfRule type="expression" priority="13" id="{B38143DE-7FF1-4796-817C-FC5A956A8DE5}">
            <xm:f>$A16=myStatus!$A$6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" id="{38515E28-FC3E-4C86-AFCC-396FEA2A49D1}">
            <xm:f>$A16=myStatus!$A$5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" id="{14DC8A73-4792-44A9-B2B9-62ED583A7791}">
            <xm:f>$A16=myStatus!$A$4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" id="{7CAFF81B-1BA0-4728-91F0-C47B1E33D9F5}">
            <xm:f>$A16=myStatus!$A$3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A16:A17</xm:sqref>
        </x14:conditionalFormatting>
        <x14:conditionalFormatting xmlns:xm="http://schemas.microsoft.com/office/excel/2006/main">
          <x14:cfRule type="expression" priority="9" id="{28B6435C-E972-4CC6-955C-2AECDB76B86B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" id="{6EE35E01-1292-4792-A5A3-2D63534714FF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" id="{A0901918-EDED-46E2-BB43-6FA0C1454FD7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" id="{00726895-A001-4011-A808-47D7FB5F6780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A18</xm:sqref>
        </x14:conditionalFormatting>
        <x14:conditionalFormatting xmlns:xm="http://schemas.microsoft.com/office/excel/2006/main">
          <x14:cfRule type="expression" priority="5" id="{E576B3E5-E151-4554-972C-7DF8F2394543}">
            <xm:f>$A19=myStatus!$A$6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" id="{7FD7F24D-E2FB-4669-A7C9-A94BF9A58D2E}">
            <xm:f>$A19=myStatus!$A$5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" id="{7F4220EF-E299-4CDD-8E53-C3555D64A7FA}">
            <xm:f>$A19=myStatus!$A$4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" id="{D347099A-5D20-4A3B-8B28-05E6462D88D4}">
            <xm:f>$A19=myStatus!$A$3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A19:A25</xm:sqref>
        </x14:conditionalFormatting>
        <x14:conditionalFormatting xmlns:xm="http://schemas.microsoft.com/office/excel/2006/main">
          <x14:cfRule type="expression" priority="1" id="{A42393EE-1453-4435-87F3-E88C87F18102}">
            <xm:f>$A27=myStatus!$A$6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" id="{CD7167E2-B089-4F2C-8801-65DF393CF494}">
            <xm:f>$A27=myStatus!$A$5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" id="{464DB3C1-B310-49B0-B552-53ADFD574104}">
            <xm:f>$A27=myStatus!$A$4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A27:A35</xm:sqref>
        </x14:conditionalFormatting>
        <x14:conditionalFormatting xmlns:xm="http://schemas.microsoft.com/office/excel/2006/main">
          <x14:cfRule type="expression" priority="4" id="{22D81CDE-15A1-4650-8653-D06295FCFC6F}">
            <xm:f>$A15=myStatus!$A$3</xm:f>
            <x14:dxf>
              <font>
                <b/>
                <i val="0"/>
              </font>
              <fill>
                <patternFill>
                  <bgColor theme="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A15:I44</xm:sqref>
        </x14:conditionalFormatting>
      </x14:conditionalFormattings>
    </ext>
    <ext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myStatus!$B$3:$B$5</xm:f>
          </x14:formula1>
          <xm:sqref>H4</xm:sqref>
        </x14:dataValidation>
        <x14:dataValidation type="list" allowBlank="1" showInputMessage="1" showErrorMessage="1">
          <x14:formula1>
            <xm:f>myStatus!$A$3:$A$5</xm:f>
          </x14:formula1>
          <xm:sqref>F4</xm:sqref>
        </x14:dataValidation>
        <x14:dataValidation type="list" allowBlank="1" showInputMessage="1" showErrorMessage="1">
          <x14:formula1>
            <xm:f>myStatus!$A$3:$A$6</xm:f>
          </x14:formula1>
          <xm:sqref>B45:B1048576 A15:A1048576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38"/>
  <sheetViews>
    <sheetView tabSelected="1" topLeftCell="B1" workbookViewId="0">
      <selection activeCell="P17" sqref="P17"/>
    </sheetView>
  </sheetViews>
  <sheetFormatPr defaultRowHeight="15" x14ac:dyDescent="0.25"/>
  <cols>
    <col min="1" max="1" customWidth="true" width="13.28515625" collapsed="true"/>
    <col min="2" max="2" bestFit="true" customWidth="true" width="67.42578125" collapsed="true"/>
    <col min="4" max="4" bestFit="true" customWidth="true" width="15.28515625" collapsed="true"/>
    <col min="7" max="7" bestFit="true" customWidth="true" width="10.7109375" collapsed="true"/>
    <col min="10" max="10" bestFit="true" customWidth="true" width="15.0" collapsed="true"/>
    <col min="15" max="15" bestFit="true" customWidth="true" width="10.7109375" collapsed="true"/>
    <col min="16" max="16" bestFit="true" customWidth="true" width="42.5703125" collapsed="true"/>
  </cols>
  <sheetData>
    <row r="1" spans="1:10" ht="15.75" thickBot="1" x14ac:dyDescent="0.3">
      <c r="A1" t="s">
        <v>153</v>
      </c>
      <c r="G1" t="s">
        <v>163</v>
      </c>
    </row>
    <row r="2" spans="1:10" ht="15.75" thickBot="1" x14ac:dyDescent="0.3">
      <c r="A2" s="82" t="s">
        <v>130</v>
      </c>
      <c r="B2" s="83"/>
      <c r="C2" s="83"/>
      <c r="D2" s="84"/>
      <c r="G2" s="85" t="s">
        <v>154</v>
      </c>
      <c r="H2" s="86"/>
      <c r="I2" s="86"/>
      <c r="J2" s="86"/>
    </row>
    <row r="3" spans="1:10" ht="15.75" thickBot="1" x14ac:dyDescent="0.3">
      <c r="A3" s="54" t="s">
        <v>131</v>
      </c>
      <c r="B3" s="54" t="s">
        <v>34</v>
      </c>
      <c r="C3" s="54" t="s">
        <v>132</v>
      </c>
      <c r="D3" s="54" t="s">
        <v>133</v>
      </c>
      <c r="G3" s="60" t="s">
        <v>131</v>
      </c>
      <c r="H3" s="61" t="s">
        <v>34</v>
      </c>
      <c r="I3" s="61" t="s">
        <v>155</v>
      </c>
      <c r="J3" s="61" t="s">
        <v>156</v>
      </c>
    </row>
    <row r="4" spans="1:10" ht="15.75" thickBot="1" x14ac:dyDescent="0.3">
      <c r="A4" s="55">
        <v>42433</v>
      </c>
      <c r="B4" s="56" t="s">
        <v>134</v>
      </c>
      <c r="C4" s="56" t="s">
        <v>135</v>
      </c>
      <c r="D4" s="57" t="s">
        <v>136</v>
      </c>
      <c r="G4" s="62">
        <v>42290</v>
      </c>
      <c r="H4" s="63" t="s">
        <v>134</v>
      </c>
      <c r="I4" s="63" t="s">
        <v>135</v>
      </c>
      <c r="J4" s="64" t="s">
        <v>136</v>
      </c>
    </row>
    <row r="5" spans="1:10" ht="15.75" thickBot="1" x14ac:dyDescent="0.3">
      <c r="A5" s="55">
        <v>42433</v>
      </c>
      <c r="B5" s="56" t="s">
        <v>137</v>
      </c>
      <c r="C5" s="56" t="s">
        <v>138</v>
      </c>
      <c r="D5" s="57" t="s">
        <v>136</v>
      </c>
      <c r="G5" s="62">
        <v>42290</v>
      </c>
      <c r="H5" s="63" t="s">
        <v>157</v>
      </c>
      <c r="I5" s="63" t="s">
        <v>138</v>
      </c>
      <c r="J5" s="65" t="s">
        <v>158</v>
      </c>
    </row>
    <row r="6" spans="1:10" ht="15.75" thickBot="1" x14ac:dyDescent="0.3">
      <c r="A6" s="55">
        <v>42433</v>
      </c>
      <c r="B6" s="56" t="s">
        <v>139</v>
      </c>
      <c r="C6" s="56" t="s">
        <v>138</v>
      </c>
      <c r="D6" s="57" t="s">
        <v>136</v>
      </c>
      <c r="G6" s="62">
        <v>42290</v>
      </c>
      <c r="H6" s="63" t="s">
        <v>139</v>
      </c>
      <c r="I6" s="63" t="s">
        <v>138</v>
      </c>
      <c r="J6" s="65" t="s">
        <v>158</v>
      </c>
    </row>
    <row r="7" spans="1:10" ht="15.75" thickBot="1" x14ac:dyDescent="0.3">
      <c r="A7" s="55">
        <v>42433</v>
      </c>
      <c r="B7" s="56" t="s">
        <v>140</v>
      </c>
      <c r="C7" s="56" t="s">
        <v>138</v>
      </c>
      <c r="D7" s="57" t="s">
        <v>136</v>
      </c>
      <c r="G7" s="62">
        <v>42290</v>
      </c>
      <c r="H7" s="63" t="s">
        <v>140</v>
      </c>
      <c r="I7" s="63" t="s">
        <v>138</v>
      </c>
      <c r="J7" s="65" t="s">
        <v>158</v>
      </c>
    </row>
    <row r="8" spans="1:10" ht="15.75" thickBot="1" x14ac:dyDescent="0.3">
      <c r="A8" s="55">
        <v>42433</v>
      </c>
      <c r="B8" s="56" t="s">
        <v>141</v>
      </c>
      <c r="C8" s="56" t="s">
        <v>138</v>
      </c>
      <c r="D8" s="57" t="s">
        <v>136</v>
      </c>
      <c r="G8" s="62">
        <v>42290</v>
      </c>
      <c r="H8" s="63" t="s">
        <v>159</v>
      </c>
      <c r="I8" s="63" t="s">
        <v>138</v>
      </c>
      <c r="J8" s="65" t="s">
        <v>158</v>
      </c>
    </row>
    <row r="9" spans="1:10" ht="15.75" thickBot="1" x14ac:dyDescent="0.3">
      <c r="A9" s="55">
        <v>42433</v>
      </c>
      <c r="B9" s="56" t="s">
        <v>142</v>
      </c>
      <c r="C9" s="56" t="s">
        <v>138</v>
      </c>
      <c r="D9" s="57" t="s">
        <v>136</v>
      </c>
      <c r="G9" s="62">
        <v>42291</v>
      </c>
      <c r="H9" s="63" t="s">
        <v>146</v>
      </c>
      <c r="I9" s="63" t="s">
        <v>138</v>
      </c>
      <c r="J9" s="65" t="s">
        <v>158</v>
      </c>
    </row>
    <row r="10" spans="1:10" ht="15.75" thickBot="1" x14ac:dyDescent="0.3">
      <c r="A10" s="55">
        <v>42433</v>
      </c>
      <c r="B10" s="56" t="s">
        <v>143</v>
      </c>
      <c r="C10" s="56" t="s">
        <v>138</v>
      </c>
      <c r="D10" s="57" t="s">
        <v>136</v>
      </c>
      <c r="G10" s="62">
        <v>42291</v>
      </c>
      <c r="H10" s="63" t="s">
        <v>148</v>
      </c>
      <c r="I10" s="63" t="s">
        <v>138</v>
      </c>
      <c r="J10" s="65" t="s">
        <v>158</v>
      </c>
    </row>
    <row r="11" spans="1:10" ht="15.75" thickBot="1" x14ac:dyDescent="0.3">
      <c r="A11" s="58">
        <v>42436</v>
      </c>
      <c r="B11" s="59" t="s">
        <v>144</v>
      </c>
      <c r="C11" s="59" t="s">
        <v>138</v>
      </c>
      <c r="D11" s="57" t="s">
        <v>136</v>
      </c>
      <c r="G11" s="62">
        <v>42291</v>
      </c>
      <c r="H11" s="63" t="s">
        <v>149</v>
      </c>
      <c r="I11" s="63" t="s">
        <v>138</v>
      </c>
      <c r="J11" s="65" t="s">
        <v>158</v>
      </c>
    </row>
    <row r="12" spans="1:10" ht="15.75" thickBot="1" x14ac:dyDescent="0.3">
      <c r="A12" s="58">
        <v>42436</v>
      </c>
      <c r="B12" s="59" t="s">
        <v>145</v>
      </c>
      <c r="C12" s="59" t="s">
        <v>138</v>
      </c>
      <c r="D12" s="57" t="s">
        <v>136</v>
      </c>
      <c r="G12" s="62">
        <v>42291</v>
      </c>
      <c r="H12" s="63" t="s">
        <v>150</v>
      </c>
      <c r="I12" s="63" t="s">
        <v>138</v>
      </c>
      <c r="J12" s="65" t="s">
        <v>158</v>
      </c>
    </row>
    <row r="13" spans="1:10" ht="15.75" thickBot="1" x14ac:dyDescent="0.3">
      <c r="A13" s="58">
        <v>42436</v>
      </c>
      <c r="B13" s="59" t="s">
        <v>146</v>
      </c>
      <c r="C13" s="59" t="s">
        <v>138</v>
      </c>
      <c r="D13" s="57" t="s">
        <v>136</v>
      </c>
      <c r="G13" s="62">
        <v>42291</v>
      </c>
      <c r="H13" s="63" t="s">
        <v>160</v>
      </c>
      <c r="I13" s="63" t="s">
        <v>138</v>
      </c>
      <c r="J13" s="65" t="s">
        <v>158</v>
      </c>
    </row>
    <row r="14" spans="1:10" ht="15.75" thickBot="1" x14ac:dyDescent="0.3">
      <c r="A14" s="58">
        <v>42436</v>
      </c>
      <c r="B14" s="59" t="s">
        <v>147</v>
      </c>
      <c r="C14" s="59" t="s">
        <v>138</v>
      </c>
      <c r="D14" s="57" t="s">
        <v>136</v>
      </c>
      <c r="G14" s="62">
        <v>42291</v>
      </c>
      <c r="H14" s="63" t="s">
        <v>161</v>
      </c>
      <c r="I14" s="63" t="s">
        <v>162</v>
      </c>
      <c r="J14" s="65" t="s">
        <v>158</v>
      </c>
    </row>
    <row r="15" spans="1:10" ht="15.75" thickBot="1" x14ac:dyDescent="0.3">
      <c r="A15" s="58">
        <v>42436</v>
      </c>
      <c r="B15" s="59" t="s">
        <v>148</v>
      </c>
      <c r="C15" s="59" t="s">
        <v>138</v>
      </c>
      <c r="D15" s="57" t="s">
        <v>136</v>
      </c>
      <c r="G15" s="62">
        <v>42291</v>
      </c>
      <c r="H15" s="63" t="s">
        <v>152</v>
      </c>
      <c r="I15" s="63" t="s">
        <v>138</v>
      </c>
      <c r="J15" s="65" t="s">
        <v>158</v>
      </c>
    </row>
    <row r="16" spans="1:10" x14ac:dyDescent="0.25">
      <c r="A16" s="58">
        <v>42436</v>
      </c>
      <c r="B16" s="59" t="s">
        <v>149</v>
      </c>
      <c r="C16" s="59" t="s">
        <v>138</v>
      </c>
      <c r="D16" s="57" t="s">
        <v>136</v>
      </c>
    </row>
    <row r="17" spans="1:18" x14ac:dyDescent="0.25">
      <c r="A17" s="58">
        <v>42436</v>
      </c>
      <c r="B17" s="59" t="s">
        <v>150</v>
      </c>
      <c r="C17" s="59" t="s">
        <v>138</v>
      </c>
      <c r="D17" s="57" t="s">
        <v>136</v>
      </c>
    </row>
    <row r="18" spans="1:18" x14ac:dyDescent="0.25">
      <c r="A18" s="58">
        <v>42436</v>
      </c>
      <c r="B18" s="59" t="s">
        <v>151</v>
      </c>
      <c r="C18" s="59" t="s">
        <v>138</v>
      </c>
      <c r="D18" s="57" t="s">
        <v>136</v>
      </c>
    </row>
    <row r="19" spans="1:18" ht="15.75" thickBot="1" x14ac:dyDescent="0.3">
      <c r="A19" s="58">
        <v>42436</v>
      </c>
      <c r="B19" s="59" t="s">
        <v>152</v>
      </c>
      <c r="C19" s="59" t="s">
        <v>138</v>
      </c>
      <c r="D19" s="57" t="s">
        <v>136</v>
      </c>
    </row>
    <row r="20" spans="1:18" ht="15.75" thickBot="1" x14ac:dyDescent="0.3">
      <c r="G20" s="87" t="s">
        <v>164</v>
      </c>
      <c r="H20" s="88"/>
      <c r="I20" s="88"/>
      <c r="J20" s="88"/>
      <c r="K20" s="88"/>
      <c r="L20" s="89"/>
      <c r="O20" s="54" t="s">
        <v>131</v>
      </c>
      <c r="P20" s="54" t="s">
        <v>175</v>
      </c>
      <c r="Q20" s="54" t="s">
        <v>155</v>
      </c>
      <c r="R20" s="54" t="s">
        <v>176</v>
      </c>
    </row>
    <row r="21" spans="1:18" ht="15.75" thickBot="1" x14ac:dyDescent="0.3">
      <c r="A21" t="s">
        <v>174</v>
      </c>
      <c r="G21" s="60" t="s">
        <v>131</v>
      </c>
      <c r="H21" s="61" t="s">
        <v>34</v>
      </c>
      <c r="I21" s="61" t="s">
        <v>155</v>
      </c>
      <c r="J21" s="61" t="s">
        <v>165</v>
      </c>
      <c r="K21" s="61" t="s">
        <v>166</v>
      </c>
      <c r="L21" s="61" t="s">
        <v>167</v>
      </c>
      <c r="O21" s="55">
        <v>42445</v>
      </c>
      <c r="P21" s="56" t="s">
        <v>134</v>
      </c>
      <c r="Q21" s="56" t="s">
        <v>135</v>
      </c>
      <c r="R21" s="57" t="s">
        <v>136</v>
      </c>
    </row>
    <row r="22" spans="1:18" ht="15.75" thickBot="1" x14ac:dyDescent="0.3">
      <c r="A22" s="87" t="s">
        <v>168</v>
      </c>
      <c r="B22" s="88"/>
      <c r="C22" s="88"/>
      <c r="D22" s="88"/>
      <c r="G22" s="66">
        <v>42187</v>
      </c>
      <c r="H22" s="67" t="s">
        <v>134</v>
      </c>
      <c r="I22" s="67" t="s">
        <v>135</v>
      </c>
      <c r="J22" s="64" t="s">
        <v>136</v>
      </c>
      <c r="K22" s="64" t="s">
        <v>136</v>
      </c>
      <c r="L22" s="64" t="s">
        <v>136</v>
      </c>
      <c r="O22" s="55">
        <v>42445</v>
      </c>
      <c r="P22" s="56" t="s">
        <v>177</v>
      </c>
      <c r="Q22" s="56" t="s">
        <v>138</v>
      </c>
      <c r="R22" s="65" t="s">
        <v>158</v>
      </c>
    </row>
    <row r="23" spans="1:18" ht="15.75" thickBot="1" x14ac:dyDescent="0.3">
      <c r="A23" s="60" t="s">
        <v>131</v>
      </c>
      <c r="B23" s="61" t="s">
        <v>34</v>
      </c>
      <c r="C23" s="61" t="s">
        <v>155</v>
      </c>
      <c r="D23" s="61" t="s">
        <v>169</v>
      </c>
      <c r="G23" s="66">
        <v>42146</v>
      </c>
      <c r="H23" s="67" t="s">
        <v>157</v>
      </c>
      <c r="I23" s="67" t="s">
        <v>138</v>
      </c>
      <c r="J23" s="65" t="s">
        <v>158</v>
      </c>
      <c r="K23" s="65" t="s">
        <v>158</v>
      </c>
      <c r="L23" s="65" t="s">
        <v>158</v>
      </c>
      <c r="O23" s="55">
        <v>42445</v>
      </c>
      <c r="P23" s="56" t="s">
        <v>141</v>
      </c>
      <c r="Q23" s="56" t="s">
        <v>138</v>
      </c>
      <c r="R23" s="65" t="s">
        <v>158</v>
      </c>
    </row>
    <row r="24" spans="1:18" ht="15.75" thickBot="1" x14ac:dyDescent="0.3">
      <c r="A24" s="66">
        <v>42423</v>
      </c>
      <c r="B24" s="67" t="s">
        <v>134</v>
      </c>
      <c r="C24" s="67" t="s">
        <v>135</v>
      </c>
      <c r="D24" s="64" t="s">
        <v>136</v>
      </c>
      <c r="G24" s="66">
        <v>42146</v>
      </c>
      <c r="H24" s="67" t="s">
        <v>139</v>
      </c>
      <c r="I24" s="67" t="s">
        <v>138</v>
      </c>
      <c r="J24" s="65" t="s">
        <v>158</v>
      </c>
      <c r="K24" s="65" t="s">
        <v>158</v>
      </c>
      <c r="L24" s="65" t="s">
        <v>158</v>
      </c>
      <c r="O24" s="55">
        <v>42445</v>
      </c>
      <c r="P24" s="56" t="s">
        <v>178</v>
      </c>
      <c r="Q24" s="56" t="s">
        <v>138</v>
      </c>
      <c r="R24" s="65" t="s">
        <v>158</v>
      </c>
    </row>
    <row r="25" spans="1:18" ht="15.75" thickBot="1" x14ac:dyDescent="0.3">
      <c r="A25" s="66">
        <v>42423</v>
      </c>
      <c r="B25" s="67" t="s">
        <v>157</v>
      </c>
      <c r="C25" s="67" t="s">
        <v>138</v>
      </c>
      <c r="D25" s="64" t="s">
        <v>136</v>
      </c>
      <c r="G25" s="66">
        <v>42146</v>
      </c>
      <c r="H25" s="67" t="s">
        <v>140</v>
      </c>
      <c r="I25" s="67" t="s">
        <v>138</v>
      </c>
      <c r="J25" s="65" t="s">
        <v>158</v>
      </c>
      <c r="K25" s="65" t="s">
        <v>158</v>
      </c>
      <c r="L25" s="65" t="s">
        <v>158</v>
      </c>
      <c r="O25" s="55">
        <v>42445</v>
      </c>
      <c r="P25" s="56" t="s">
        <v>142</v>
      </c>
      <c r="Q25" s="56" t="s">
        <v>138</v>
      </c>
      <c r="R25" s="65" t="s">
        <v>158</v>
      </c>
    </row>
    <row r="26" spans="1:18" ht="15.75" thickBot="1" x14ac:dyDescent="0.3">
      <c r="A26" s="66">
        <v>42423</v>
      </c>
      <c r="B26" s="67" t="s">
        <v>139</v>
      </c>
      <c r="C26" s="67" t="s">
        <v>138</v>
      </c>
      <c r="D26" s="64" t="s">
        <v>136</v>
      </c>
      <c r="G26" s="66">
        <v>42146</v>
      </c>
      <c r="H26" s="67" t="s">
        <v>159</v>
      </c>
      <c r="I26" s="67" t="s">
        <v>138</v>
      </c>
      <c r="J26" s="65" t="s">
        <v>158</v>
      </c>
      <c r="K26" s="65" t="s">
        <v>158</v>
      </c>
      <c r="L26" s="65" t="s">
        <v>158</v>
      </c>
      <c r="O26" s="55">
        <v>42445</v>
      </c>
      <c r="P26" s="56" t="s">
        <v>143</v>
      </c>
      <c r="Q26" s="56" t="s">
        <v>138</v>
      </c>
      <c r="R26" s="65" t="s">
        <v>158</v>
      </c>
    </row>
    <row r="27" spans="1:18" ht="15.75" thickBot="1" x14ac:dyDescent="0.3">
      <c r="A27" s="66">
        <v>42423</v>
      </c>
      <c r="B27" s="67" t="s">
        <v>140</v>
      </c>
      <c r="C27" s="67" t="s">
        <v>138</v>
      </c>
      <c r="D27" s="64" t="s">
        <v>136</v>
      </c>
      <c r="G27" s="66">
        <v>42146</v>
      </c>
      <c r="H27" s="67" t="s">
        <v>146</v>
      </c>
      <c r="I27" s="67" t="s">
        <v>138</v>
      </c>
      <c r="J27" s="65" t="s">
        <v>158</v>
      </c>
      <c r="K27" s="65" t="s">
        <v>158</v>
      </c>
      <c r="L27" s="65" t="s">
        <v>158</v>
      </c>
      <c r="O27" s="55">
        <v>42445</v>
      </c>
      <c r="P27" s="56" t="s">
        <v>144</v>
      </c>
      <c r="Q27" s="56" t="s">
        <v>138</v>
      </c>
      <c r="R27" s="65" t="s">
        <v>158</v>
      </c>
    </row>
    <row r="28" spans="1:18" ht="15.75" thickBot="1" x14ac:dyDescent="0.3">
      <c r="A28" s="66">
        <v>42423</v>
      </c>
      <c r="B28" s="67" t="s">
        <v>159</v>
      </c>
      <c r="C28" s="67" t="s">
        <v>138</v>
      </c>
      <c r="D28" s="64" t="s">
        <v>136</v>
      </c>
      <c r="G28" s="66">
        <v>42146</v>
      </c>
      <c r="H28" s="67" t="s">
        <v>148</v>
      </c>
      <c r="I28" s="67" t="s">
        <v>138</v>
      </c>
      <c r="J28" s="65" t="s">
        <v>158</v>
      </c>
      <c r="K28" s="65" t="s">
        <v>158</v>
      </c>
      <c r="L28" s="65" t="s">
        <v>158</v>
      </c>
      <c r="O28" s="55">
        <v>42445</v>
      </c>
      <c r="P28" s="56" t="s">
        <v>179</v>
      </c>
      <c r="Q28" s="56" t="s">
        <v>138</v>
      </c>
      <c r="R28" s="65" t="s">
        <v>158</v>
      </c>
    </row>
    <row r="29" spans="1:18" ht="15.75" thickBot="1" x14ac:dyDescent="0.3">
      <c r="A29" s="66">
        <v>42423</v>
      </c>
      <c r="B29" s="67" t="s">
        <v>170</v>
      </c>
      <c r="C29" s="67" t="s">
        <v>138</v>
      </c>
      <c r="D29" s="68" t="s">
        <v>136</v>
      </c>
      <c r="G29" s="66">
        <v>42146</v>
      </c>
      <c r="H29" s="67" t="s">
        <v>149</v>
      </c>
      <c r="I29" s="67" t="s">
        <v>138</v>
      </c>
      <c r="J29" s="65" t="s">
        <v>158</v>
      </c>
      <c r="K29" s="65" t="s">
        <v>158</v>
      </c>
      <c r="L29" s="65" t="s">
        <v>158</v>
      </c>
      <c r="O29" s="55">
        <v>42445</v>
      </c>
      <c r="P29" s="56" t="s">
        <v>180</v>
      </c>
      <c r="Q29" s="56" t="s">
        <v>138</v>
      </c>
      <c r="R29" s="65" t="s">
        <v>158</v>
      </c>
    </row>
    <row r="30" spans="1:18" ht="15.75" thickBot="1" x14ac:dyDescent="0.3">
      <c r="A30" s="66">
        <v>42423</v>
      </c>
      <c r="B30" s="67" t="s">
        <v>171</v>
      </c>
      <c r="C30" s="69" t="s">
        <v>138</v>
      </c>
      <c r="D30" s="70" t="s">
        <v>136</v>
      </c>
      <c r="G30" s="66">
        <v>42146</v>
      </c>
      <c r="H30" s="67" t="s">
        <v>150</v>
      </c>
      <c r="I30" s="67" t="s">
        <v>138</v>
      </c>
      <c r="J30" s="65" t="s">
        <v>158</v>
      </c>
      <c r="K30" s="65" t="s">
        <v>158</v>
      </c>
      <c r="L30" s="65" t="s">
        <v>158</v>
      </c>
      <c r="O30" s="55">
        <v>42445</v>
      </c>
      <c r="P30" s="56" t="s">
        <v>181</v>
      </c>
      <c r="Q30" s="56" t="s">
        <v>138</v>
      </c>
      <c r="R30" s="65" t="s">
        <v>158</v>
      </c>
    </row>
    <row r="31" spans="1:18" ht="15.75" thickBot="1" x14ac:dyDescent="0.3">
      <c r="A31" s="66">
        <v>42423</v>
      </c>
      <c r="B31" s="67" t="s">
        <v>146</v>
      </c>
      <c r="C31" s="69" t="s">
        <v>138</v>
      </c>
      <c r="D31" s="71" t="s">
        <v>136</v>
      </c>
      <c r="G31" s="66">
        <v>42146</v>
      </c>
      <c r="H31" s="67" t="s">
        <v>160</v>
      </c>
      <c r="I31" s="67" t="s">
        <v>138</v>
      </c>
      <c r="J31" s="65" t="s">
        <v>158</v>
      </c>
      <c r="K31" s="65" t="s">
        <v>158</v>
      </c>
      <c r="L31" s="65" t="s">
        <v>158</v>
      </c>
      <c r="O31" s="55">
        <v>42445</v>
      </c>
      <c r="P31" s="56" t="s">
        <v>182</v>
      </c>
      <c r="Q31" s="56" t="s">
        <v>138</v>
      </c>
      <c r="R31" s="65" t="s">
        <v>158</v>
      </c>
    </row>
    <row r="32" spans="1:18" ht="15.75" thickBot="1" x14ac:dyDescent="0.3">
      <c r="A32" s="66">
        <v>42423</v>
      </c>
      <c r="B32" s="67" t="s">
        <v>172</v>
      </c>
      <c r="C32" s="69" t="s">
        <v>138</v>
      </c>
      <c r="D32" s="65" t="s">
        <v>158</v>
      </c>
      <c r="G32" s="66">
        <v>42146</v>
      </c>
      <c r="H32" s="67" t="s">
        <v>161</v>
      </c>
      <c r="I32" s="67" t="s">
        <v>162</v>
      </c>
      <c r="J32" s="65" t="s">
        <v>158</v>
      </c>
      <c r="K32" s="65" t="s">
        <v>158</v>
      </c>
      <c r="L32" s="65" t="s">
        <v>158</v>
      </c>
      <c r="O32" s="55">
        <v>42445</v>
      </c>
      <c r="P32" s="56" t="s">
        <v>147</v>
      </c>
      <c r="Q32" s="56" t="s">
        <v>138</v>
      </c>
      <c r="R32" s="65" t="s">
        <v>158</v>
      </c>
    </row>
    <row r="33" spans="1:18" ht="15.75" thickBot="1" x14ac:dyDescent="0.3">
      <c r="A33" s="66">
        <v>42423</v>
      </c>
      <c r="B33" s="67" t="s">
        <v>148</v>
      </c>
      <c r="C33" s="69" t="s">
        <v>138</v>
      </c>
      <c r="D33" s="71" t="s">
        <v>136</v>
      </c>
      <c r="G33" s="66">
        <v>42146</v>
      </c>
      <c r="H33" s="67" t="s">
        <v>152</v>
      </c>
      <c r="I33" s="67" t="s">
        <v>138</v>
      </c>
      <c r="J33" s="65" t="s">
        <v>158</v>
      </c>
      <c r="K33" s="65" t="s">
        <v>158</v>
      </c>
      <c r="L33" s="65" t="s">
        <v>158</v>
      </c>
      <c r="O33" s="55">
        <v>42445</v>
      </c>
      <c r="P33" s="56" t="s">
        <v>148</v>
      </c>
      <c r="Q33" s="56" t="s">
        <v>138</v>
      </c>
      <c r="R33" s="65" t="s">
        <v>158</v>
      </c>
    </row>
    <row r="34" spans="1:18" ht="15.75" thickBot="1" x14ac:dyDescent="0.3">
      <c r="A34" s="66">
        <v>42423</v>
      </c>
      <c r="B34" s="67" t="s">
        <v>149</v>
      </c>
      <c r="C34" s="67" t="s">
        <v>138</v>
      </c>
      <c r="D34" s="71" t="s">
        <v>136</v>
      </c>
      <c r="O34" s="55">
        <v>42445</v>
      </c>
      <c r="P34" s="56" t="s">
        <v>149</v>
      </c>
      <c r="Q34" s="56" t="s">
        <v>138</v>
      </c>
      <c r="R34" s="65" t="s">
        <v>158</v>
      </c>
    </row>
    <row r="35" spans="1:18" ht="15.75" thickBot="1" x14ac:dyDescent="0.3">
      <c r="A35" s="66">
        <v>42423</v>
      </c>
      <c r="B35" s="67" t="s">
        <v>150</v>
      </c>
      <c r="C35" s="67" t="s">
        <v>138</v>
      </c>
      <c r="D35" s="71" t="s">
        <v>136</v>
      </c>
      <c r="O35" s="55">
        <v>42445</v>
      </c>
      <c r="P35" s="56" t="s">
        <v>150</v>
      </c>
      <c r="Q35" s="56" t="s">
        <v>138</v>
      </c>
      <c r="R35" s="65" t="s">
        <v>158</v>
      </c>
    </row>
    <row r="36" spans="1:18" ht="15.75" thickBot="1" x14ac:dyDescent="0.3">
      <c r="A36" s="66">
        <v>42423</v>
      </c>
      <c r="B36" s="67" t="s">
        <v>160</v>
      </c>
      <c r="C36" s="67" t="s">
        <v>138</v>
      </c>
      <c r="D36" s="71" t="s">
        <v>136</v>
      </c>
      <c r="O36" s="55">
        <v>42445</v>
      </c>
      <c r="P36" s="56" t="s">
        <v>183</v>
      </c>
      <c r="Q36" s="56" t="s">
        <v>138</v>
      </c>
      <c r="R36" s="65" t="s">
        <v>158</v>
      </c>
    </row>
    <row r="37" spans="1:18" ht="15.75" thickBot="1" x14ac:dyDescent="0.3">
      <c r="A37" s="66">
        <v>42424</v>
      </c>
      <c r="B37" s="67" t="s">
        <v>173</v>
      </c>
      <c r="C37" s="67" t="s">
        <v>138</v>
      </c>
      <c r="D37" s="71" t="s">
        <v>136</v>
      </c>
      <c r="O37" s="55">
        <v>42445</v>
      </c>
      <c r="P37" s="56" t="s">
        <v>152</v>
      </c>
      <c r="Q37" s="56" t="s">
        <v>138</v>
      </c>
      <c r="R37" s="65" t="s">
        <v>158</v>
      </c>
    </row>
    <row r="38" spans="1:18" ht="15.75" thickBot="1" x14ac:dyDescent="0.3">
      <c r="A38" s="66">
        <v>42424</v>
      </c>
      <c r="B38" s="67" t="s">
        <v>152</v>
      </c>
      <c r="C38" s="67" t="s">
        <v>138</v>
      </c>
      <c r="D38" s="71" t="s">
        <v>136</v>
      </c>
    </row>
  </sheetData>
  <mergeCells count="4">
    <mergeCell ref="A2:D2"/>
    <mergeCell ref="G2:J2"/>
    <mergeCell ref="G20:L20"/>
    <mergeCell ref="A22:D2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7"/>
  <sheetViews>
    <sheetView zoomScale="85" zoomScaleNormal="85" workbookViewId="0">
      <pane ySplit="1" topLeftCell="A2" activePane="bottomLeft" state="frozen"/>
      <selection pane="bottomLeft" activeCell="F13" sqref="F13"/>
    </sheetView>
  </sheetViews>
  <sheetFormatPr defaultRowHeight="15" x14ac:dyDescent="0.25"/>
  <cols>
    <col min="1" max="1" bestFit="true" customWidth="true" style="42" width="48.5703125" collapsed="true"/>
    <col min="2" max="2" bestFit="true" customWidth="true" style="2" width="9.7109375" collapsed="true"/>
    <col min="3" max="3" bestFit="true" customWidth="true" style="2" width="8.5703125" collapsed="true"/>
    <col min="4" max="4" bestFit="true" customWidth="true" style="2" width="15.0" collapsed="true"/>
    <col min="5" max="5" bestFit="true" customWidth="true" style="2" width="8.0" collapsed="true"/>
    <col min="6" max="6" bestFit="true" customWidth="true" style="2" width="39.0" collapsed="true"/>
    <col min="7" max="7" bestFit="true" customWidth="true" style="2" width="17.7109375" collapsed="true"/>
    <col min="8" max="10" bestFit="true" customWidth="true" style="2" width="255.7109375" collapsed="true"/>
    <col min="11" max="11" bestFit="true" customWidth="true" style="2" width="18.28515625" collapsed="true"/>
    <col min="12" max="16384" style="2" width="9.140625" collapsed="true"/>
  </cols>
  <sheetData>
    <row r="1" spans="1:12" s="6" customFormat="1" ht="16.5" thickTop="1" thickBot="1" x14ac:dyDescent="0.3">
      <c r="A1" s="1" t="s">
        <v>57</v>
      </c>
      <c r="B1" s="4" t="s">
        <v>3</v>
      </c>
      <c r="C1" s="4" t="s">
        <v>8</v>
      </c>
      <c r="D1" s="4" t="s">
        <v>9</v>
      </c>
      <c r="E1" s="4"/>
      <c r="F1" s="4" t="s">
        <v>10</v>
      </c>
      <c r="G1" s="4" t="s">
        <v>11</v>
      </c>
      <c r="H1" s="4" t="s">
        <v>12</v>
      </c>
      <c r="I1" s="4" t="s">
        <v>13</v>
      </c>
      <c r="J1" s="4" t="s">
        <v>14</v>
      </c>
      <c r="K1" s="4" t="s">
        <v>15</v>
      </c>
      <c r="L1" s="2"/>
    </row>
    <row r="2" spans="1:12" s="14" customFormat="1" ht="15.75" thickTop="1" x14ac:dyDescent="0.25"/>
    <row r="3" spans="1:12" s="14" customFormat="1" x14ac:dyDescent="0.25"/>
    <row r="4" spans="1:12" s="14" customFormat="1" x14ac:dyDescent="0.25"/>
    <row r="5" spans="1:12" s="14" customFormat="1" x14ac:dyDescent="0.25"/>
    <row r="6" spans="1:12" s="14" customFormat="1" x14ac:dyDescent="0.25"/>
    <row r="7" spans="1:12" s="14" customFormat="1" x14ac:dyDescent="0.25"/>
    <row r="8" spans="1:12" s="14" customFormat="1" x14ac:dyDescent="0.25"/>
    <row r="9" spans="1:12" s="14" customFormat="1" x14ac:dyDescent="0.25"/>
    <row r="10" spans="1:12" s="14" customFormat="1" x14ac:dyDescent="0.25"/>
    <row r="11" spans="1:12" s="14" customFormat="1" x14ac:dyDescent="0.25"/>
    <row r="12" spans="1:12" s="14" customFormat="1" x14ac:dyDescent="0.25"/>
    <row r="13" spans="1:12" s="14" customFormat="1" x14ac:dyDescent="0.25"/>
    <row r="14" spans="1:12" s="14" customFormat="1" x14ac:dyDescent="0.25"/>
    <row r="15" spans="1:12" s="14" customFormat="1" x14ac:dyDescent="0.25"/>
    <row r="16" spans="1:12" s="14" customFormat="1" x14ac:dyDescent="0.25"/>
    <row r="17" s="14" customFormat="1" x14ac:dyDescent="0.25"/>
    <row r="18" s="14" customFormat="1" x14ac:dyDescent="0.25"/>
    <row r="19" s="14" customFormat="1" x14ac:dyDescent="0.25"/>
    <row r="20" s="14" customFormat="1" x14ac:dyDescent="0.25"/>
    <row r="21" s="14" customFormat="1" x14ac:dyDescent="0.25"/>
    <row r="22" s="14" customFormat="1" x14ac:dyDescent="0.25"/>
    <row r="23" s="14" customFormat="1" x14ac:dyDescent="0.25"/>
    <row r="24" s="14" customFormat="1" x14ac:dyDescent="0.25"/>
    <row r="25" s="14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</sheetData>
  <autoFilter ref="A1:L60"/>
  <customSheetViews>
    <customSheetView guid="{11DA137D-FA21-4924-8652-5200ADF70677}" showAutoFilter="1">
      <pane ySplit="2" topLeftCell="A3" activePane="bottomLeft" state="frozen"/>
      <selection pane="bottomLeft"/>
      <pageMargins left="0.7" right="0.7" top="0.75" bottom="0.75" header="0.3" footer="0.3"/>
      <pageSetup paperSize="9" orientation="portrait" r:id="rId1"/>
      <autoFilter ref="A2:J162"/>
    </customSheetView>
  </customSheetViews>
  <pageMargins left="0.7" right="0.7" top="0.75" bottom="0.75" header="0.3" footer="0.3"/>
  <pageSetup paperSize="9" orientation="portrait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3" id="{4FE24729-6E1D-4FB9-B15F-D730F2592A12}">
            <xm:f>$B68=myStatus!$A$5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4" id="{C00FFFF8-394F-495A-B0D1-785570B89082}">
            <xm:f>$B68=myStatus!$A$4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5" id="{2B01C1F3-4B7B-41A7-8BDB-5379D68EB2C6}">
            <xm:f>$B68=myStatus!$A$3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B68:K155 B158:K1048576</xm:sqref>
        </x14:conditionalFormatting>
        <x14:conditionalFormatting xmlns:xm="http://schemas.microsoft.com/office/excel/2006/main">
          <x14:cfRule type="expression" priority="576" id="{4FE24729-6E1D-4FB9-B15F-D730F2592A12}">
            <xm:f>#REF!=myStatus!$A$5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7" id="{C00FFFF8-394F-495A-B0D1-785570B89082}">
            <xm:f>#REF!=myStatus!$A$4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8" id="{2B01C1F3-4B7B-41A7-8BDB-5379D68EB2C6}">
            <xm:f>#REF!=myStatus!$A$3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K156:K157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B68:B127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"/>
  <sheetViews>
    <sheetView zoomScale="70" zoomScaleNormal="70" workbookViewId="0">
      <pane ySplit="1" topLeftCell="A2" activePane="bottomLeft" state="frozen"/>
      <selection pane="bottomLeft" activeCell="X45" sqref="X45"/>
    </sheetView>
  </sheetViews>
  <sheetFormatPr defaultRowHeight="15" x14ac:dyDescent="0.25"/>
  <cols>
    <col min="1" max="1" customWidth="true" style="42" width="20.140625" collapsed="true"/>
    <col min="2" max="2" bestFit="true" customWidth="true" width="10.85546875" collapsed="true"/>
    <col min="4" max="5" customWidth="true" width="11.0" collapsed="true"/>
    <col min="6" max="6" customWidth="true" width="12.85546875" collapsed="true"/>
    <col min="7" max="7" customWidth="true" width="52.5703125" collapsed="true"/>
  </cols>
  <sheetData>
    <row r="1" spans="1:7" ht="16.5" thickTop="1" thickBot="1" x14ac:dyDescent="0.3">
      <c r="A1" s="73" t="s">
        <v>64</v>
      </c>
      <c r="B1" s="46" t="s">
        <v>100</v>
      </c>
      <c r="C1" s="46" t="s">
        <v>101</v>
      </c>
      <c r="D1" s="46" t="s">
        <v>102</v>
      </c>
      <c r="E1" s="46" t="s">
        <v>103</v>
      </c>
      <c r="F1" s="46" t="s">
        <v>104</v>
      </c>
      <c r="G1" s="47" t="s">
        <v>105</v>
      </c>
    </row>
    <row r="2">
      <c r="A2" t="s">
        <v>190</v>
      </c>
      <c r="B2" t="s">
        <v>194</v>
      </c>
      <c r="C2" t="s">
        <v>195</v>
      </c>
      <c r="D2" t="s">
        <v>196</v>
      </c>
      <c r="E2" t="s">
        <v>197</v>
      </c>
      <c r="F2" t="s">
        <v>198</v>
      </c>
      <c r="G2" t="s">
        <v>199</v>
      </c>
    </row>
    <row r="3">
      <c r="A3" t="s">
        <v>190</v>
      </c>
      <c r="B3" t="s">
        <v>200</v>
      </c>
      <c r="C3" t="s">
        <v>195</v>
      </c>
      <c r="D3" t="s">
        <v>201</v>
      </c>
      <c r="E3" t="s">
        <v>202</v>
      </c>
      <c r="F3" t="s">
        <v>203</v>
      </c>
      <c r="G3" t="s">
        <v>204</v>
      </c>
    </row>
  </sheetData>
  <autoFilter ref="A1:G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"/>
  <sheetViews>
    <sheetView zoomScale="70" zoomScaleNormal="70" workbookViewId="0">
      <pane ySplit="1" topLeftCell="A2" activePane="bottomLeft" state="frozen"/>
      <selection pane="bottomLeft" sqref="A1:XFD1"/>
    </sheetView>
  </sheetViews>
  <sheetFormatPr defaultRowHeight="15" x14ac:dyDescent="0.25"/>
  <cols>
    <col min="1" max="1" customWidth="true" style="42" width="23.42578125" collapsed="true"/>
    <col min="2" max="2" customWidth="true" width="13.42578125" collapsed="true"/>
    <col min="3" max="3" customWidth="true" width="40.42578125" collapsed="true"/>
    <col min="5" max="5" customWidth="true" width="13.28515625" collapsed="true"/>
    <col min="6" max="6" customWidth="true" width="11.28515625" collapsed="true"/>
    <col min="7" max="7" customWidth="true" width="9.5703125" collapsed="true"/>
  </cols>
  <sheetData>
    <row r="1" spans="1:7" ht="16.5" thickTop="1" thickBot="1" x14ac:dyDescent="0.3">
      <c r="A1" s="73" t="s">
        <v>64</v>
      </c>
      <c r="B1" s="46" t="s">
        <v>100</v>
      </c>
      <c r="C1" s="46" t="s">
        <v>106</v>
      </c>
      <c r="D1" s="46" t="s">
        <v>107</v>
      </c>
      <c r="E1" s="46" t="s">
        <v>108</v>
      </c>
      <c r="F1" s="48" t="s">
        <v>103</v>
      </c>
      <c r="G1" s="49" t="s">
        <v>100</v>
      </c>
    </row>
    <row r="2">
      <c r="A2" t="s">
        <v>190</v>
      </c>
      <c r="B2" t="s">
        <v>194</v>
      </c>
      <c r="C2" t="s">
        <v>205</v>
      </c>
      <c r="D2" t="s">
        <v>206</v>
      </c>
      <c r="E2" t="s">
        <v>207</v>
      </c>
    </row>
    <row r="3">
      <c r="A3" t="s">
        <v>190</v>
      </c>
      <c r="B3" t="s">
        <v>200</v>
      </c>
      <c r="C3" t="s">
        <v>208</v>
      </c>
      <c r="D3" t="s">
        <v>209</v>
      </c>
      <c r="E3" t="s">
        <v>210</v>
      </c>
    </row>
    <row r="4">
      <c r="A4" t="s">
        <v>190</v>
      </c>
      <c r="B4" t="s">
        <v>200</v>
      </c>
      <c r="C4" t="s">
        <v>211</v>
      </c>
      <c r="D4" t="s">
        <v>212</v>
      </c>
      <c r="E4" t="s">
        <v>210</v>
      </c>
    </row>
    <row r="5">
      <c r="A5" t="s">
        <v>190</v>
      </c>
      <c r="B5" t="s">
        <v>200</v>
      </c>
      <c r="C5" t="s">
        <v>213</v>
      </c>
      <c r="D5" t="s">
        <v>214</v>
      </c>
      <c r="E5" t="s">
        <v>210</v>
      </c>
    </row>
    <row r="6">
      <c r="A6" t="s">
        <v>190</v>
      </c>
      <c r="B6" t="s">
        <v>200</v>
      </c>
      <c r="C6" t="s">
        <v>215</v>
      </c>
      <c r="D6" t="s">
        <v>216</v>
      </c>
      <c r="E6" t="s">
        <v>210</v>
      </c>
    </row>
    <row r="7">
      <c r="A7" t="s">
        <v>190</v>
      </c>
      <c r="B7" t="s">
        <v>200</v>
      </c>
      <c r="C7" t="s">
        <v>217</v>
      </c>
      <c r="D7" t="s">
        <v>218</v>
      </c>
      <c r="E7" t="s">
        <v>210</v>
      </c>
    </row>
    <row r="8">
      <c r="A8" t="s">
        <v>190</v>
      </c>
      <c r="B8" t="s">
        <v>200</v>
      </c>
      <c r="C8" t="s">
        <v>219</v>
      </c>
      <c r="D8" t="s">
        <v>218</v>
      </c>
      <c r="E8" t="s">
        <v>207</v>
      </c>
    </row>
    <row r="9">
      <c r="A9" t="s">
        <v>190</v>
      </c>
      <c r="B9" t="s">
        <v>200</v>
      </c>
      <c r="C9" t="s">
        <v>220</v>
      </c>
      <c r="D9" t="s">
        <v>221</v>
      </c>
      <c r="E9" t="s">
        <v>210</v>
      </c>
    </row>
    <row r="10">
      <c r="A10" t="s">
        <v>190</v>
      </c>
      <c r="B10" t="s">
        <v>200</v>
      </c>
      <c r="C10" t="s">
        <v>222</v>
      </c>
      <c r="D10" t="s">
        <v>221</v>
      </c>
      <c r="E10" t="s">
        <v>210</v>
      </c>
    </row>
    <row r="11">
      <c r="A11" t="s">
        <v>190</v>
      </c>
      <c r="B11" t="s">
        <v>200</v>
      </c>
      <c r="C11" t="s">
        <v>223</v>
      </c>
      <c r="D11" t="s">
        <v>221</v>
      </c>
      <c r="E11" t="s">
        <v>210</v>
      </c>
    </row>
    <row r="12">
      <c r="A12" t="s">
        <v>190</v>
      </c>
      <c r="B12" t="s">
        <v>200</v>
      </c>
      <c r="C12" t="s">
        <v>224</v>
      </c>
      <c r="D12" t="s">
        <v>221</v>
      </c>
      <c r="E12" t="s">
        <v>210</v>
      </c>
    </row>
    <row r="13">
      <c r="A13" t="s">
        <v>190</v>
      </c>
      <c r="B13" t="s">
        <v>200</v>
      </c>
      <c r="C13" t="s">
        <v>225</v>
      </c>
      <c r="D13" t="s">
        <v>221</v>
      </c>
      <c r="E13" t="s">
        <v>210</v>
      </c>
    </row>
    <row r="14">
      <c r="A14" t="s">
        <v>190</v>
      </c>
      <c r="B14" t="s">
        <v>200</v>
      </c>
      <c r="C14" t="s">
        <v>226</v>
      </c>
      <c r="D14" t="s">
        <v>209</v>
      </c>
      <c r="E14" t="s">
        <v>210</v>
      </c>
    </row>
    <row r="15">
      <c r="A15" t="s">
        <v>190</v>
      </c>
      <c r="B15" t="s">
        <v>200</v>
      </c>
      <c r="C15" t="s">
        <v>227</v>
      </c>
      <c r="D15" t="s">
        <v>209</v>
      </c>
      <c r="E15" t="s">
        <v>210</v>
      </c>
    </row>
    <row r="16">
      <c r="A16" t="s">
        <v>190</v>
      </c>
      <c r="B16" t="s">
        <v>200</v>
      </c>
      <c r="C16" t="s">
        <v>228</v>
      </c>
      <c r="D16" t="s">
        <v>209</v>
      </c>
      <c r="E16" t="s">
        <v>210</v>
      </c>
    </row>
    <row r="17">
      <c r="A17" t="s">
        <v>190</v>
      </c>
      <c r="B17" t="s">
        <v>200</v>
      </c>
      <c r="C17" t="s">
        <v>229</v>
      </c>
      <c r="D17" t="s">
        <v>209</v>
      </c>
      <c r="E17" t="s">
        <v>210</v>
      </c>
    </row>
    <row r="18">
      <c r="A18" t="s">
        <v>190</v>
      </c>
      <c r="B18" t="s">
        <v>200</v>
      </c>
      <c r="C18" t="s">
        <v>230</v>
      </c>
      <c r="D18" t="s">
        <v>212</v>
      </c>
      <c r="E18" t="s">
        <v>210</v>
      </c>
    </row>
    <row r="19">
      <c r="A19" t="s">
        <v>190</v>
      </c>
      <c r="B19" t="s">
        <v>200</v>
      </c>
      <c r="C19" t="s">
        <v>231</v>
      </c>
      <c r="D19" t="s">
        <v>212</v>
      </c>
      <c r="E19" t="s">
        <v>207</v>
      </c>
    </row>
  </sheetData>
  <autoFilter ref="A1:G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"/>
  <sheetViews>
    <sheetView zoomScale="70" zoomScaleNormal="70" workbookViewId="0">
      <pane ySplit="1" topLeftCell="A2" activePane="bottomLeft" state="frozen"/>
      <selection pane="bottomLeft" activeCell="S42" sqref="S42"/>
    </sheetView>
  </sheetViews>
  <sheetFormatPr defaultRowHeight="15" x14ac:dyDescent="0.25"/>
  <cols>
    <col min="1" max="1" customWidth="true" style="42" width="22.85546875" collapsed="true"/>
    <col min="17" max="17" customWidth="true" width="104.0" collapsed="true"/>
  </cols>
  <sheetData>
    <row r="1" spans="1:19" ht="16.5" thickTop="1" thickBot="1" x14ac:dyDescent="0.3">
      <c r="A1" s="73" t="s">
        <v>64</v>
      </c>
      <c r="B1" s="46" t="s">
        <v>109</v>
      </c>
      <c r="C1" s="46" t="s">
        <v>110</v>
      </c>
      <c r="D1" s="46" t="s">
        <v>111</v>
      </c>
      <c r="E1" s="46" t="s">
        <v>112</v>
      </c>
      <c r="F1" s="46" t="s">
        <v>113</v>
      </c>
      <c r="G1" s="46" t="s">
        <v>114</v>
      </c>
      <c r="H1" s="46" t="s">
        <v>115</v>
      </c>
      <c r="I1" s="46" t="s">
        <v>116</v>
      </c>
      <c r="J1" s="50" t="s">
        <v>117</v>
      </c>
      <c r="K1" s="46" t="s">
        <v>118</v>
      </c>
      <c r="L1" s="46" t="s">
        <v>119</v>
      </c>
      <c r="M1" s="50" t="s">
        <v>120</v>
      </c>
      <c r="N1" s="46" t="s">
        <v>121</v>
      </c>
      <c r="O1" s="46" t="s">
        <v>102</v>
      </c>
      <c r="P1" s="46" t="s">
        <v>122</v>
      </c>
      <c r="Q1" s="46" t="s">
        <v>123</v>
      </c>
      <c r="R1" s="51" t="s">
        <v>124</v>
      </c>
      <c r="S1" s="52" t="s">
        <v>88</v>
      </c>
    </row>
    <row r="2">
      <c r="A2" t="s">
        <v>190</v>
      </c>
      <c r="B2" t="s">
        <v>232</v>
      </c>
      <c r="C2" t="s">
        <v>233</v>
      </c>
      <c r="D2" t="s">
        <v>136</v>
      </c>
      <c r="E2" t="s">
        <v>234</v>
      </c>
      <c r="F2" t="s">
        <v>233</v>
      </c>
      <c r="G2" t="s">
        <v>235</v>
      </c>
      <c r="H2" t="s">
        <v>236</v>
      </c>
      <c r="I2" t="s">
        <v>237</v>
      </c>
      <c r="J2" t="s">
        <v>238</v>
      </c>
      <c r="K2" t="s">
        <v>239</v>
      </c>
      <c r="L2" t="s">
        <v>238</v>
      </c>
      <c r="M2" t="s">
        <v>238</v>
      </c>
      <c r="N2" t="s">
        <v>238</v>
      </c>
      <c r="O2" t="s">
        <v>240</v>
      </c>
      <c r="P2"/>
      <c r="Q2" t="s">
        <v>241</v>
      </c>
    </row>
    <row r="3">
      <c r="A3" t="s">
        <v>190</v>
      </c>
      <c r="B3" t="s">
        <v>232</v>
      </c>
      <c r="C3" t="s">
        <v>242</v>
      </c>
      <c r="D3" t="s">
        <v>136</v>
      </c>
      <c r="E3" t="s">
        <v>234</v>
      </c>
      <c r="F3" t="s">
        <v>242</v>
      </c>
      <c r="G3" t="s">
        <v>235</v>
      </c>
      <c r="H3" t="s">
        <v>236</v>
      </c>
      <c r="I3" t="s">
        <v>243</v>
      </c>
      <c r="J3" t="s">
        <v>238</v>
      </c>
      <c r="K3" t="s">
        <v>244</v>
      </c>
      <c r="L3" t="s">
        <v>238</v>
      </c>
      <c r="M3" t="s">
        <v>238</v>
      </c>
      <c r="N3" t="s">
        <v>238</v>
      </c>
      <c r="O3" t="s">
        <v>240</v>
      </c>
      <c r="P3"/>
      <c r="Q3" t="s">
        <v>245</v>
      </c>
    </row>
    <row r="4">
      <c r="A4" t="s">
        <v>190</v>
      </c>
      <c r="B4" t="s">
        <v>232</v>
      </c>
      <c r="C4" t="s">
        <v>246</v>
      </c>
      <c r="D4" t="s">
        <v>136</v>
      </c>
      <c r="E4" t="s">
        <v>234</v>
      </c>
      <c r="F4" t="s">
        <v>246</v>
      </c>
      <c r="G4" t="s">
        <v>235</v>
      </c>
      <c r="H4" t="s">
        <v>236</v>
      </c>
      <c r="I4" t="s">
        <v>237</v>
      </c>
      <c r="J4" t="s">
        <v>247</v>
      </c>
      <c r="K4" t="s">
        <v>239</v>
      </c>
      <c r="L4" t="s">
        <v>238</v>
      </c>
      <c r="M4" t="s">
        <v>238</v>
      </c>
      <c r="N4" t="s">
        <v>238</v>
      </c>
      <c r="O4" t="s">
        <v>240</v>
      </c>
      <c r="P4"/>
      <c r="Q4" t="s">
        <v>248</v>
      </c>
    </row>
    <row r="5">
      <c r="A5" t="s">
        <v>190</v>
      </c>
      <c r="B5" t="s">
        <v>232</v>
      </c>
      <c r="C5" t="s">
        <v>249</v>
      </c>
      <c r="D5" t="s">
        <v>136</v>
      </c>
      <c r="E5" t="s">
        <v>234</v>
      </c>
      <c r="F5" t="s">
        <v>249</v>
      </c>
      <c r="G5" t="s">
        <v>235</v>
      </c>
      <c r="H5" t="s">
        <v>236</v>
      </c>
      <c r="I5" t="s">
        <v>250</v>
      </c>
      <c r="J5" t="s">
        <v>238</v>
      </c>
      <c r="K5" t="s">
        <v>251</v>
      </c>
      <c r="L5" t="s">
        <v>247</v>
      </c>
      <c r="M5" t="s">
        <v>238</v>
      </c>
      <c r="N5" t="s">
        <v>238</v>
      </c>
      <c r="O5" t="s">
        <v>240</v>
      </c>
      <c r="P5"/>
      <c r="Q5" t="s">
        <v>252</v>
      </c>
    </row>
    <row r="6">
      <c r="A6" t="s">
        <v>190</v>
      </c>
      <c r="B6" t="s">
        <v>232</v>
      </c>
      <c r="C6" t="s">
        <v>253</v>
      </c>
      <c r="D6" t="s">
        <v>136</v>
      </c>
      <c r="E6" t="s">
        <v>234</v>
      </c>
      <c r="F6" t="s">
        <v>253</v>
      </c>
      <c r="G6" t="s">
        <v>235</v>
      </c>
      <c r="H6" t="s">
        <v>236</v>
      </c>
      <c r="I6" t="s">
        <v>250</v>
      </c>
      <c r="J6" t="s">
        <v>238</v>
      </c>
      <c r="K6" t="s">
        <v>251</v>
      </c>
      <c r="L6" t="s">
        <v>238</v>
      </c>
      <c r="M6" t="s">
        <v>238</v>
      </c>
      <c r="N6" t="s">
        <v>247</v>
      </c>
      <c r="O6" t="s">
        <v>240</v>
      </c>
      <c r="P6"/>
      <c r="Q6" t="s">
        <v>254</v>
      </c>
    </row>
    <row r="7">
      <c r="A7" t="s">
        <v>190</v>
      </c>
      <c r="B7" t="s">
        <v>232</v>
      </c>
      <c r="C7" t="s">
        <v>255</v>
      </c>
      <c r="D7" t="s">
        <v>136</v>
      </c>
      <c r="E7" t="s">
        <v>234</v>
      </c>
      <c r="F7" t="s">
        <v>255</v>
      </c>
      <c r="G7" t="s">
        <v>235</v>
      </c>
      <c r="H7" t="s">
        <v>236</v>
      </c>
      <c r="I7" t="s">
        <v>256</v>
      </c>
      <c r="J7" t="s">
        <v>238</v>
      </c>
      <c r="K7" t="s">
        <v>257</v>
      </c>
      <c r="L7" t="s">
        <v>238</v>
      </c>
      <c r="M7" t="s">
        <v>238</v>
      </c>
      <c r="N7" t="s">
        <v>238</v>
      </c>
      <c r="O7" t="s">
        <v>240</v>
      </c>
      <c r="P7"/>
      <c r="Q7" t="s">
        <v>258</v>
      </c>
    </row>
    <row r="8">
      <c r="A8" t="s">
        <v>190</v>
      </c>
      <c r="B8" t="s">
        <v>232</v>
      </c>
      <c r="C8" t="s">
        <v>259</v>
      </c>
      <c r="D8" t="s">
        <v>136</v>
      </c>
      <c r="E8" t="s">
        <v>234</v>
      </c>
      <c r="F8" t="s">
        <v>259</v>
      </c>
      <c r="G8" t="s">
        <v>235</v>
      </c>
      <c r="H8" t="s">
        <v>236</v>
      </c>
      <c r="I8" t="s">
        <v>256</v>
      </c>
      <c r="J8" t="s">
        <v>238</v>
      </c>
      <c r="K8" t="s">
        <v>257</v>
      </c>
      <c r="L8" t="s">
        <v>238</v>
      </c>
      <c r="M8" t="s">
        <v>238</v>
      </c>
      <c r="N8" t="s">
        <v>238</v>
      </c>
      <c r="O8" t="s">
        <v>240</v>
      </c>
      <c r="P8"/>
      <c r="Q8" t="s">
        <v>260</v>
      </c>
    </row>
    <row r="9">
      <c r="A9" t="s">
        <v>190</v>
      </c>
      <c r="B9" t="s">
        <v>232</v>
      </c>
      <c r="C9" t="s">
        <v>261</v>
      </c>
      <c r="D9" t="s">
        <v>136</v>
      </c>
      <c r="E9" t="s">
        <v>234</v>
      </c>
      <c r="F9" t="s">
        <v>261</v>
      </c>
      <c r="G9" t="s">
        <v>235</v>
      </c>
      <c r="H9" t="s">
        <v>236</v>
      </c>
      <c r="I9" t="s">
        <v>262</v>
      </c>
      <c r="J9" t="s">
        <v>238</v>
      </c>
      <c r="K9" t="s">
        <v>257</v>
      </c>
      <c r="L9" t="s">
        <v>238</v>
      </c>
      <c r="M9" t="s">
        <v>238</v>
      </c>
      <c r="N9" t="s">
        <v>238</v>
      </c>
      <c r="O9" t="s">
        <v>240</v>
      </c>
      <c r="P9"/>
      <c r="Q9" t="s">
        <v>263</v>
      </c>
    </row>
    <row r="10">
      <c r="A10" t="s">
        <v>190</v>
      </c>
      <c r="B10" t="s">
        <v>232</v>
      </c>
      <c r="C10" t="s">
        <v>264</v>
      </c>
      <c r="D10" t="s">
        <v>265</v>
      </c>
      <c r="E10" t="s">
        <v>234</v>
      </c>
      <c r="F10" t="s">
        <v>264</v>
      </c>
      <c r="G10" t="s">
        <v>235</v>
      </c>
      <c r="H10" t="s">
        <v>236</v>
      </c>
      <c r="I10" t="s">
        <v>262</v>
      </c>
      <c r="J10" t="s">
        <v>238</v>
      </c>
      <c r="K10" t="s">
        <v>257</v>
      </c>
      <c r="L10" t="s">
        <v>238</v>
      </c>
      <c r="M10" t="s">
        <v>238</v>
      </c>
      <c r="N10" t="s">
        <v>238</v>
      </c>
      <c r="O10" t="s">
        <v>240</v>
      </c>
      <c r="P10"/>
      <c r="Q10" t="s">
        <v>266</v>
      </c>
    </row>
    <row r="11">
      <c r="A11" t="s">
        <v>190</v>
      </c>
      <c r="B11" t="s">
        <v>232</v>
      </c>
      <c r="C11" t="s">
        <v>267</v>
      </c>
      <c r="D11" t="s">
        <v>265</v>
      </c>
      <c r="E11" t="s">
        <v>234</v>
      </c>
      <c r="F11" t="s">
        <v>267</v>
      </c>
      <c r="G11" t="s">
        <v>235</v>
      </c>
      <c r="H11" t="s">
        <v>236</v>
      </c>
      <c r="I11" t="s">
        <v>262</v>
      </c>
      <c r="J11" t="s">
        <v>247</v>
      </c>
      <c r="K11" t="s">
        <v>257</v>
      </c>
      <c r="L11" t="s">
        <v>238</v>
      </c>
      <c r="M11" t="s">
        <v>238</v>
      </c>
      <c r="N11" t="s">
        <v>238</v>
      </c>
      <c r="O11" t="s">
        <v>240</v>
      </c>
      <c r="P11"/>
      <c r="Q11" t="s">
        <v>268</v>
      </c>
    </row>
    <row r="12">
      <c r="A12" t="s">
        <v>190</v>
      </c>
      <c r="B12" t="s">
        <v>232</v>
      </c>
      <c r="C12" t="s">
        <v>269</v>
      </c>
      <c r="D12" t="s">
        <v>270</v>
      </c>
      <c r="E12" t="s">
        <v>200</v>
      </c>
      <c r="F12" t="s">
        <v>233</v>
      </c>
      <c r="G12" t="s">
        <v>235</v>
      </c>
      <c r="H12" t="s">
        <v>236</v>
      </c>
      <c r="I12" t="s">
        <v>243</v>
      </c>
      <c r="J12" t="s">
        <v>238</v>
      </c>
      <c r="K12" t="s">
        <v>239</v>
      </c>
      <c r="L12" t="s">
        <v>238</v>
      </c>
      <c r="M12" t="s">
        <v>238</v>
      </c>
      <c r="N12" t="s">
        <v>238</v>
      </c>
      <c r="O12" t="s">
        <v>201</v>
      </c>
      <c r="P12"/>
      <c r="Q12" t="s">
        <v>271</v>
      </c>
    </row>
    <row r="13">
      <c r="A13" t="s">
        <v>190</v>
      </c>
      <c r="B13" t="s">
        <v>232</v>
      </c>
      <c r="C13" t="s">
        <v>272</v>
      </c>
      <c r="D13" t="s">
        <v>270</v>
      </c>
      <c r="E13" t="s">
        <v>200</v>
      </c>
      <c r="F13" t="s">
        <v>233</v>
      </c>
      <c r="G13" t="s">
        <v>235</v>
      </c>
      <c r="H13" t="s">
        <v>236</v>
      </c>
      <c r="I13" t="s">
        <v>243</v>
      </c>
      <c r="J13" t="s">
        <v>238</v>
      </c>
      <c r="K13" t="s">
        <v>251</v>
      </c>
      <c r="L13" t="s">
        <v>238</v>
      </c>
      <c r="M13" t="s">
        <v>238</v>
      </c>
      <c r="N13" t="s">
        <v>238</v>
      </c>
      <c r="O13" t="s">
        <v>201</v>
      </c>
      <c r="P13"/>
      <c r="Q13" t="s">
        <v>273</v>
      </c>
    </row>
    <row r="14">
      <c r="A14" t="s">
        <v>190</v>
      </c>
      <c r="B14" t="s">
        <v>232</v>
      </c>
      <c r="C14" t="s">
        <v>274</v>
      </c>
      <c r="D14" t="s">
        <v>270</v>
      </c>
      <c r="E14" t="s">
        <v>234</v>
      </c>
      <c r="F14" t="s">
        <v>275</v>
      </c>
      <c r="G14" t="s">
        <v>235</v>
      </c>
      <c r="H14" t="s">
        <v>236</v>
      </c>
      <c r="I14" t="s">
        <v>243</v>
      </c>
      <c r="J14" t="s">
        <v>238</v>
      </c>
      <c r="K14" t="s">
        <v>276</v>
      </c>
      <c r="L14" t="s">
        <v>238</v>
      </c>
      <c r="M14" t="s">
        <v>238</v>
      </c>
      <c r="N14" t="s">
        <v>238</v>
      </c>
      <c r="O14" t="s">
        <v>240</v>
      </c>
      <c r="P14"/>
      <c r="Q14" t="s">
        <v>277</v>
      </c>
    </row>
    <row r="15">
      <c r="A15" t="s">
        <v>190</v>
      </c>
      <c r="B15" t="s">
        <v>232</v>
      </c>
      <c r="C15" t="s">
        <v>278</v>
      </c>
      <c r="D15" t="s">
        <v>270</v>
      </c>
      <c r="E15" t="s">
        <v>234</v>
      </c>
      <c r="F15" t="s">
        <v>279</v>
      </c>
      <c r="G15" t="s">
        <v>235</v>
      </c>
      <c r="H15" t="s">
        <v>236</v>
      </c>
      <c r="I15" t="s">
        <v>243</v>
      </c>
      <c r="J15" t="s">
        <v>238</v>
      </c>
      <c r="K15" t="s">
        <v>239</v>
      </c>
      <c r="L15" t="s">
        <v>238</v>
      </c>
      <c r="M15" t="s">
        <v>238</v>
      </c>
      <c r="N15" t="s">
        <v>238</v>
      </c>
      <c r="O15" t="s">
        <v>240</v>
      </c>
      <c r="P15"/>
      <c r="Q15" t="s">
        <v>280</v>
      </c>
    </row>
    <row r="16">
      <c r="A16" t="s">
        <v>190</v>
      </c>
      <c r="B16" t="s">
        <v>232</v>
      </c>
      <c r="C16" t="s">
        <v>281</v>
      </c>
      <c r="D16" t="s">
        <v>270</v>
      </c>
      <c r="E16" t="s">
        <v>234</v>
      </c>
      <c r="F16" t="s">
        <v>274</v>
      </c>
      <c r="G16" t="s">
        <v>235</v>
      </c>
      <c r="H16" t="s">
        <v>236</v>
      </c>
      <c r="I16" t="s">
        <v>250</v>
      </c>
      <c r="J16" t="s">
        <v>238</v>
      </c>
      <c r="K16" t="s">
        <v>251</v>
      </c>
      <c r="L16" t="s">
        <v>238</v>
      </c>
      <c r="M16" t="s">
        <v>238</v>
      </c>
      <c r="N16" t="s">
        <v>247</v>
      </c>
      <c r="O16" t="s">
        <v>240</v>
      </c>
      <c r="P16"/>
      <c r="Q16" t="s">
        <v>282</v>
      </c>
    </row>
    <row r="17">
      <c r="A17" t="s">
        <v>190</v>
      </c>
      <c r="B17" t="s">
        <v>232</v>
      </c>
      <c r="C17" t="s">
        <v>283</v>
      </c>
      <c r="D17" t="s">
        <v>270</v>
      </c>
      <c r="E17" t="s">
        <v>234</v>
      </c>
      <c r="F17" t="s">
        <v>278</v>
      </c>
      <c r="G17" t="s">
        <v>235</v>
      </c>
      <c r="H17" t="s">
        <v>236</v>
      </c>
      <c r="I17" t="s">
        <v>237</v>
      </c>
      <c r="J17" t="s">
        <v>247</v>
      </c>
      <c r="K17" t="s">
        <v>239</v>
      </c>
      <c r="L17" t="s">
        <v>238</v>
      </c>
      <c r="M17" t="s">
        <v>238</v>
      </c>
      <c r="N17" t="s">
        <v>238</v>
      </c>
      <c r="O17" t="s">
        <v>240</v>
      </c>
      <c r="P17"/>
      <c r="Q17" t="s">
        <v>284</v>
      </c>
    </row>
    <row r="18">
      <c r="A18" t="s">
        <v>190</v>
      </c>
      <c r="B18" t="s">
        <v>232</v>
      </c>
      <c r="C18" t="s">
        <v>285</v>
      </c>
      <c r="D18" t="s">
        <v>286</v>
      </c>
      <c r="E18" t="s">
        <v>234</v>
      </c>
      <c r="F18" t="s">
        <v>281</v>
      </c>
      <c r="G18" t="s">
        <v>235</v>
      </c>
      <c r="H18" t="s">
        <v>236</v>
      </c>
      <c r="I18" t="s">
        <v>250</v>
      </c>
      <c r="J18" t="s">
        <v>238</v>
      </c>
      <c r="K18" t="s">
        <v>257</v>
      </c>
      <c r="L18" t="s">
        <v>238</v>
      </c>
      <c r="M18" t="s">
        <v>238</v>
      </c>
      <c r="N18" t="s">
        <v>238</v>
      </c>
      <c r="O18" t="s">
        <v>240</v>
      </c>
      <c r="P18"/>
      <c r="Q18" t="s">
        <v>287</v>
      </c>
    </row>
  </sheetData>
  <autoFilter ref="A1:S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"/>
  <sheetViews>
    <sheetView zoomScale="70" zoomScaleNormal="70" workbookViewId="0">
      <pane ySplit="1" topLeftCell="A2" activePane="bottomLeft" state="frozen"/>
      <selection pane="bottomLeft" activeCell="C7" sqref="C7"/>
    </sheetView>
  </sheetViews>
  <sheetFormatPr defaultRowHeight="15" x14ac:dyDescent="0.25"/>
  <cols>
    <col min="1" max="1" customWidth="true" style="42" width="20.28515625" collapsed="true"/>
    <col min="3" max="3" customWidth="true" width="37.85546875" collapsed="true"/>
    <col min="4" max="4" customWidth="true" width="9.42578125" collapsed="true"/>
    <col min="5" max="5" customWidth="true" width="17.42578125" collapsed="true"/>
    <col min="6" max="6" customWidth="true" width="14.140625" collapsed="true"/>
  </cols>
  <sheetData>
    <row r="1" spans="1:6" ht="16.5" thickTop="1" thickBot="1" x14ac:dyDescent="0.3">
      <c r="A1" s="73" t="s">
        <v>64</v>
      </c>
      <c r="B1" s="53" t="s">
        <v>125</v>
      </c>
      <c r="C1" s="53" t="s">
        <v>127</v>
      </c>
      <c r="D1" s="53" t="s">
        <v>126</v>
      </c>
      <c r="E1" s="53" t="s">
        <v>128</v>
      </c>
      <c r="F1" s="53" t="s">
        <v>129</v>
      </c>
    </row>
    <row r="2">
      <c r="A2" t="s">
        <v>190</v>
      </c>
      <c r="B2" t="s">
        <v>289</v>
      </c>
      <c r="C2" t="s">
        <v>288</v>
      </c>
      <c r="D2" t="s">
        <v>290</v>
      </c>
      <c r="E2" t="s">
        <v>210</v>
      </c>
      <c r="F2" t="s">
        <v>291</v>
      </c>
    </row>
    <row r="3">
      <c r="A3" t="s">
        <v>190</v>
      </c>
      <c r="B3" t="s">
        <v>289</v>
      </c>
      <c r="C3" t="s">
        <v>292</v>
      </c>
      <c r="D3" t="s">
        <v>290</v>
      </c>
      <c r="E3" t="s">
        <v>293</v>
      </c>
      <c r="F3" t="s">
        <v>294</v>
      </c>
    </row>
    <row r="4">
      <c r="A4" t="s">
        <v>190</v>
      </c>
      <c r="B4" t="s">
        <v>289</v>
      </c>
      <c r="C4" t="s">
        <v>295</v>
      </c>
      <c r="D4" t="s">
        <v>290</v>
      </c>
      <c r="E4" t="s">
        <v>210</v>
      </c>
      <c r="F4" t="s">
        <v>291</v>
      </c>
    </row>
    <row r="5">
      <c r="A5" t="s">
        <v>190</v>
      </c>
      <c r="B5" t="s">
        <v>289</v>
      </c>
      <c r="C5" t="s">
        <v>296</v>
      </c>
      <c r="D5" t="s">
        <v>290</v>
      </c>
      <c r="E5" t="s">
        <v>210</v>
      </c>
      <c r="F5" t="s">
        <v>291</v>
      </c>
    </row>
    <row r="6">
      <c r="A6" t="s">
        <v>190</v>
      </c>
      <c r="B6" t="s">
        <v>289</v>
      </c>
      <c r="C6" t="s">
        <v>297</v>
      </c>
      <c r="D6" t="s">
        <v>298</v>
      </c>
      <c r="E6" t="s">
        <v>299</v>
      </c>
      <c r="F6" t="s">
        <v>300</v>
      </c>
    </row>
    <row r="7">
      <c r="A7" t="s">
        <v>190</v>
      </c>
      <c r="B7" t="s">
        <v>289</v>
      </c>
      <c r="C7" t="s">
        <v>297</v>
      </c>
      <c r="D7" t="s">
        <v>298</v>
      </c>
      <c r="E7" t="s">
        <v>301</v>
      </c>
      <c r="F7" t="s">
        <v>300</v>
      </c>
    </row>
    <row r="8">
      <c r="A8" t="s">
        <v>190</v>
      </c>
      <c r="B8" t="s">
        <v>289</v>
      </c>
      <c r="C8" t="s">
        <v>302</v>
      </c>
      <c r="D8" t="s">
        <v>298</v>
      </c>
      <c r="E8" t="s">
        <v>303</v>
      </c>
      <c r="F8" t="s">
        <v>304</v>
      </c>
    </row>
    <row r="9">
      <c r="A9" t="s">
        <v>190</v>
      </c>
      <c r="B9" t="s">
        <v>306</v>
      </c>
      <c r="C9" t="s">
        <v>305</v>
      </c>
      <c r="D9" t="s">
        <v>290</v>
      </c>
      <c r="E9" t="s">
        <v>307</v>
      </c>
      <c r="F9" t="s">
        <v>291</v>
      </c>
    </row>
  </sheetData>
  <autoFilter ref="A1:F1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1"/>
  <sheetViews>
    <sheetView zoomScale="70" zoomScaleNormal="70" workbookViewId="0">
      <pane ySplit="1" topLeftCell="A2" activePane="bottomLeft" state="frozen"/>
      <selection pane="bottomLeft" activeCell="L16" sqref="L16"/>
    </sheetView>
  </sheetViews>
  <sheetFormatPr defaultRowHeight="15" x14ac:dyDescent="0.25"/>
  <cols>
    <col min="1" max="1" customWidth="true" style="42" width="21.5703125" collapsed="true"/>
    <col min="2" max="2" customWidth="true" width="18.85546875" collapsed="true"/>
    <col min="3" max="3" customWidth="true" width="21.5703125" collapsed="true"/>
  </cols>
  <sheetData>
    <row r="1" spans="1:3" x14ac:dyDescent="0.25">
      <c r="A1" s="74" t="s">
        <v>64</v>
      </c>
      <c r="B1" s="72" t="s">
        <v>184</v>
      </c>
      <c r="C1" s="72" t="s">
        <v>185</v>
      </c>
    </row>
    <row r="2">
      <c r="A2" t="s">
        <v>190</v>
      </c>
      <c r="B2" t="s">
        <v>218</v>
      </c>
      <c r="C2" t="s">
        <v>308</v>
      </c>
    </row>
    <row r="3">
      <c r="A3" t="s">
        <v>190</v>
      </c>
      <c r="B3" t="s">
        <v>218</v>
      </c>
      <c r="C3" t="s">
        <v>309</v>
      </c>
    </row>
    <row r="4">
      <c r="A4" t="s">
        <v>190</v>
      </c>
      <c r="B4" t="s">
        <v>221</v>
      </c>
      <c r="C4" t="s">
        <v>308</v>
      </c>
    </row>
    <row r="5">
      <c r="A5" t="s">
        <v>190</v>
      </c>
      <c r="B5" t="s">
        <v>221</v>
      </c>
      <c r="C5" t="s">
        <v>310</v>
      </c>
    </row>
    <row r="6">
      <c r="A6" t="s">
        <v>190</v>
      </c>
      <c r="B6" t="s">
        <v>221</v>
      </c>
      <c r="C6" t="s">
        <v>311</v>
      </c>
    </row>
    <row r="7">
      <c r="A7" t="s">
        <v>190</v>
      </c>
      <c r="B7" t="s">
        <v>216</v>
      </c>
      <c r="C7" t="s">
        <v>308</v>
      </c>
    </row>
    <row r="8">
      <c r="A8" t="s">
        <v>190</v>
      </c>
      <c r="B8" t="s">
        <v>216</v>
      </c>
      <c r="C8" t="s">
        <v>312</v>
      </c>
    </row>
    <row r="9">
      <c r="A9" t="s">
        <v>190</v>
      </c>
      <c r="B9" t="s">
        <v>216</v>
      </c>
      <c r="C9" t="s">
        <v>313</v>
      </c>
    </row>
    <row r="10">
      <c r="A10" t="s">
        <v>190</v>
      </c>
      <c r="B10" t="s">
        <v>216</v>
      </c>
      <c r="C10" t="s">
        <v>314</v>
      </c>
    </row>
    <row r="11">
      <c r="A11" t="s">
        <v>190</v>
      </c>
      <c r="B11" t="s">
        <v>216</v>
      </c>
      <c r="C11" t="s">
        <v>315</v>
      </c>
    </row>
    <row r="12">
      <c r="A12" t="s">
        <v>190</v>
      </c>
      <c r="B12" t="s">
        <v>216</v>
      </c>
      <c r="C12" t="s">
        <v>316</v>
      </c>
    </row>
    <row r="13">
      <c r="A13" t="s">
        <v>190</v>
      </c>
      <c r="B13" t="s">
        <v>216</v>
      </c>
      <c r="C13" t="s">
        <v>317</v>
      </c>
    </row>
    <row r="14">
      <c r="A14" t="s">
        <v>190</v>
      </c>
      <c r="B14" t="s">
        <v>216</v>
      </c>
      <c r="C14" t="s">
        <v>318</v>
      </c>
    </row>
    <row r="15">
      <c r="A15" t="s">
        <v>190</v>
      </c>
      <c r="B15" t="s">
        <v>216</v>
      </c>
      <c r="C15" t="s">
        <v>319</v>
      </c>
    </row>
    <row r="16">
      <c r="A16" t="s">
        <v>190</v>
      </c>
      <c r="B16" t="s">
        <v>216</v>
      </c>
      <c r="C16" t="s">
        <v>320</v>
      </c>
    </row>
    <row r="17">
      <c r="A17" t="s">
        <v>190</v>
      </c>
      <c r="B17" t="s">
        <v>206</v>
      </c>
      <c r="C17" t="s">
        <v>321</v>
      </c>
    </row>
    <row r="18">
      <c r="A18" t="s">
        <v>190</v>
      </c>
      <c r="B18" t="s">
        <v>209</v>
      </c>
      <c r="C18" t="s">
        <v>308</v>
      </c>
    </row>
    <row r="19">
      <c r="A19" t="s">
        <v>190</v>
      </c>
      <c r="B19" t="s">
        <v>209</v>
      </c>
      <c r="C19" t="s">
        <v>322</v>
      </c>
    </row>
  </sheetData>
  <autoFilter ref="A1:C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170"/>
  <sheetViews>
    <sheetView zoomScale="85" zoomScaleNormal="85" workbookViewId="0">
      <pane ySplit="1" topLeftCell="A2" activePane="bottomLeft" state="frozen"/>
      <selection pane="bottomLeft" activeCell="F37" sqref="F37"/>
    </sheetView>
  </sheetViews>
  <sheetFormatPr defaultRowHeight="15" x14ac:dyDescent="0.25"/>
  <cols>
    <col min="1" max="1" bestFit="true" customWidth="true" style="42" width="9.42578125" collapsed="true"/>
    <col min="2" max="2" bestFit="true" customWidth="true" style="2" width="9.0" collapsed="true"/>
    <col min="3" max="3" bestFit="true" customWidth="true" style="2" width="6.7109375" collapsed="true"/>
    <col min="4" max="4" bestFit="true" customWidth="true" style="2" width="34.5703125" collapsed="true"/>
    <col min="5" max="5" bestFit="true" customWidth="true" style="2" width="72.85546875" collapsed="true"/>
    <col min="6" max="6" bestFit="true" customWidth="true" style="2" width="44.28515625" collapsed="true"/>
    <col min="7" max="7" bestFit="true" customWidth="true" style="2" width="20.28515625" collapsed="true"/>
    <col min="8" max="8" bestFit="true" customWidth="true" style="2" width="30.7109375" collapsed="true"/>
    <col min="9" max="9" bestFit="true" customWidth="true" style="2" width="6.42578125" collapsed="true"/>
    <col min="10" max="10" bestFit="true" customWidth="true" style="2" width="19.140625" collapsed="true"/>
    <col min="11" max="11" bestFit="true" customWidth="true" style="2" width="116.7109375" collapsed="true"/>
    <col min="12" max="12" bestFit="true" customWidth="true" style="2" width="24.140625" collapsed="true"/>
    <col min="13" max="13" bestFit="true" customWidth="true" style="2" width="11.5703125" collapsed="true"/>
    <col min="14" max="14" bestFit="true" customWidth="true" style="2" width="12.28515625" collapsed="true"/>
    <col min="15" max="15" bestFit="true" customWidth="true" style="2" width="70.85546875" collapsed="true"/>
    <col min="16" max="16" bestFit="true" customWidth="true" style="2" width="19.85546875" collapsed="true"/>
    <col min="17" max="17" bestFit="true" customWidth="true" style="2" width="10.85546875" collapsed="true"/>
    <col min="18" max="18" bestFit="true" customWidth="true" style="2" width="120.0" collapsed="true"/>
    <col min="19" max="19" bestFit="true" customWidth="true" style="2" width="24.140625" collapsed="true"/>
    <col min="20" max="20" bestFit="true" customWidth="true" style="2" width="17.28515625" collapsed="true"/>
    <col min="21" max="21" bestFit="true" customWidth="true" style="2" width="2.140625" collapsed="true"/>
    <col min="22" max="22" bestFit="true" customWidth="true" style="2" width="2.42578125" collapsed="true"/>
    <col min="23" max="16384" style="2" width="9.140625" collapsed="true"/>
  </cols>
  <sheetData>
    <row r="1" spans="1:22" ht="16.5" thickTop="1" thickBot="1" x14ac:dyDescent="0.3">
      <c r="A1" s="1" t="s">
        <v>88</v>
      </c>
      <c r="B1" s="1" t="s">
        <v>3</v>
      </c>
      <c r="C1" s="8" t="s">
        <v>30</v>
      </c>
      <c r="D1" s="8" t="s">
        <v>31</v>
      </c>
      <c r="E1" s="8"/>
      <c r="F1" s="8" t="s">
        <v>32</v>
      </c>
      <c r="G1" s="8" t="s">
        <v>33</v>
      </c>
      <c r="H1" s="8" t="s">
        <v>34</v>
      </c>
      <c r="I1" s="8" t="s">
        <v>3</v>
      </c>
      <c r="J1" s="8" t="s">
        <v>35</v>
      </c>
      <c r="K1" s="8" t="s">
        <v>8</v>
      </c>
      <c r="L1" s="8" t="s">
        <v>36</v>
      </c>
      <c r="M1" s="8" t="s">
        <v>25</v>
      </c>
      <c r="N1" s="8" t="s">
        <v>37</v>
      </c>
      <c r="O1" s="8" t="s">
        <v>38</v>
      </c>
      <c r="P1" s="8" t="s">
        <v>39</v>
      </c>
      <c r="Q1" s="8" t="s">
        <v>40</v>
      </c>
      <c r="R1" s="8" t="s">
        <v>41</v>
      </c>
      <c r="S1" s="8" t="s">
        <v>42</v>
      </c>
      <c r="T1" s="8" t="s">
        <v>43</v>
      </c>
    </row>
    <row r="2" spans="1:22" ht="15.75" thickTop="1" x14ac:dyDescent="0.25"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</row>
    <row r="3" spans="1:22" x14ac:dyDescent="0.25"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</row>
    <row r="4" spans="1:22" x14ac:dyDescent="0.25"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</row>
    <row r="5" spans="1:22" x14ac:dyDescent="0.25"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</row>
    <row r="6" spans="1:22" x14ac:dyDescent="0.25"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</row>
    <row r="7" spans="1:22" x14ac:dyDescent="0.25"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</row>
    <row r="8" spans="1:22" x14ac:dyDescent="0.25"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</row>
    <row r="9" spans="1:22" x14ac:dyDescent="0.25"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</row>
    <row r="10" spans="1:22" x14ac:dyDescent="0.25"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</row>
    <row r="11" spans="1:22" x14ac:dyDescent="0.25"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</row>
    <row r="12" spans="1:22" x14ac:dyDescent="0.25"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</row>
    <row r="13" spans="1:22" x14ac:dyDescent="0.25"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</row>
    <row r="14" spans="1:22" x14ac:dyDescent="0.25"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</row>
    <row r="15" spans="1:22" x14ac:dyDescent="0.25"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</row>
    <row r="16" spans="1:22" x14ac:dyDescent="0.25"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</row>
    <row r="17" spans="3:22" x14ac:dyDescent="0.25"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</row>
    <row r="18" spans="3:22" x14ac:dyDescent="0.25">
      <c r="C18" s="42"/>
      <c r="D18" s="42"/>
      <c r="E18" s="42"/>
      <c r="F18" s="42"/>
      <c r="G18" s="42"/>
      <c r="H18" s="42"/>
      <c r="I18" s="42"/>
      <c r="J18" s="44"/>
      <c r="K18" s="44"/>
      <c r="L18" s="44"/>
      <c r="M18" s="44"/>
      <c r="N18" s="44"/>
      <c r="O18" s="42"/>
      <c r="P18" s="42"/>
      <c r="Q18" s="42"/>
      <c r="R18" s="42"/>
      <c r="S18" s="42"/>
      <c r="T18" s="42"/>
      <c r="U18" s="42"/>
      <c r="V18" s="42"/>
    </row>
    <row r="19" spans="3:22" x14ac:dyDescent="0.25">
      <c r="C19" s="42"/>
      <c r="D19" s="42"/>
      <c r="E19" s="42"/>
      <c r="F19" s="42"/>
      <c r="G19" s="42"/>
      <c r="H19" s="42"/>
      <c r="I19" s="42"/>
      <c r="J19" s="44"/>
      <c r="K19" s="44"/>
      <c r="L19" s="44"/>
      <c r="M19" s="44"/>
      <c r="N19" s="44"/>
      <c r="O19" s="42"/>
      <c r="P19" s="42"/>
      <c r="Q19" s="42"/>
      <c r="R19" s="42"/>
      <c r="S19" s="42"/>
      <c r="T19" s="42"/>
      <c r="U19" s="42"/>
      <c r="V19" s="42"/>
    </row>
    <row r="20" spans="3:22" x14ac:dyDescent="0.25">
      <c r="C20" s="42"/>
      <c r="D20" s="42"/>
      <c r="E20" s="42"/>
      <c r="F20" s="42"/>
      <c r="G20" s="42"/>
      <c r="H20" s="42"/>
      <c r="I20" s="42"/>
      <c r="J20" s="44"/>
      <c r="K20" s="44"/>
      <c r="L20" s="44"/>
      <c r="M20" s="44"/>
      <c r="N20" s="44"/>
      <c r="O20" s="42"/>
      <c r="P20" s="42"/>
      <c r="Q20" s="42"/>
      <c r="R20" s="42"/>
      <c r="S20" s="42"/>
      <c r="T20" s="42"/>
      <c r="U20" s="42"/>
      <c r="V20" s="42"/>
    </row>
    <row r="21" spans="3:22" x14ac:dyDescent="0.25"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</row>
    <row r="22" spans="3:22" x14ac:dyDescent="0.25"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</row>
    <row r="23" spans="3:22" x14ac:dyDescent="0.25"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</row>
    <row r="24" spans="3:22" x14ac:dyDescent="0.25"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</row>
    <row r="25" spans="3:22" x14ac:dyDescent="0.25"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</row>
    <row r="26" spans="3:22" x14ac:dyDescent="0.25"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</row>
    <row r="27" spans="3:22" x14ac:dyDescent="0.25"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</row>
    <row r="28" spans="3:22" x14ac:dyDescent="0.25"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</row>
    <row r="29" spans="3:22" x14ac:dyDescent="0.25"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</row>
    <row r="30" spans="3:22" x14ac:dyDescent="0.25"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</row>
    <row r="31" spans="3:22" x14ac:dyDescent="0.25"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</row>
    <row r="32" spans="3:22" x14ac:dyDescent="0.25"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</row>
    <row r="33" spans="3:22" x14ac:dyDescent="0.25"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</row>
    <row r="34" spans="3:22" x14ac:dyDescent="0.25"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</row>
    <row r="35" spans="3:22" x14ac:dyDescent="0.25"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</row>
    <row r="36" spans="3:22" x14ac:dyDescent="0.25"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</row>
    <row r="37" spans="3:22" x14ac:dyDescent="0.25"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</row>
    <row r="38" spans="3:22" x14ac:dyDescent="0.25"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</row>
    <row r="39" spans="3:22" x14ac:dyDescent="0.25"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</row>
    <row r="40" spans="3:22" x14ac:dyDescent="0.25"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</row>
    <row r="41" spans="3:22" x14ac:dyDescent="0.25"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</row>
    <row r="42" spans="3:22" x14ac:dyDescent="0.25"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</row>
    <row r="43" spans="3:22" x14ac:dyDescent="0.25"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</row>
    <row r="44" spans="3:22" x14ac:dyDescent="0.25"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</row>
    <row r="45" spans="3:22" x14ac:dyDescent="0.25"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</row>
    <row r="46" spans="3:22" x14ac:dyDescent="0.25"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</row>
    <row r="47" spans="3:22" x14ac:dyDescent="0.25"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</row>
    <row r="48" spans="3:22" x14ac:dyDescent="0.25"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</row>
    <row r="49" spans="3:22" x14ac:dyDescent="0.25"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</row>
    <row r="50" spans="3:22" x14ac:dyDescent="0.25"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</row>
    <row r="51" spans="3:22" x14ac:dyDescent="0.25"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</row>
    <row r="52" spans="3:22" x14ac:dyDescent="0.25"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</row>
    <row r="53" spans="3:22" x14ac:dyDescent="0.25"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</row>
    <row r="54" spans="3:22" x14ac:dyDescent="0.25"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</row>
    <row r="55" spans="3:22" x14ac:dyDescent="0.25"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</row>
    <row r="56" spans="3:22" x14ac:dyDescent="0.25"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</row>
    <row r="57" spans="3:22" x14ac:dyDescent="0.25"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</row>
    <row r="58" spans="3:22" x14ac:dyDescent="0.25">
      <c r="C58" s="42"/>
      <c r="D58" s="42"/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</row>
    <row r="59" spans="3:22" x14ac:dyDescent="0.25">
      <c r="C59" s="42"/>
      <c r="D59" s="42"/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</row>
    <row r="60" spans="3:22" x14ac:dyDescent="0.25">
      <c r="C60" s="42"/>
      <c r="D60" s="42"/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</row>
    <row r="61" spans="3:22" x14ac:dyDescent="0.25"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</row>
    <row r="62" spans="3:22" x14ac:dyDescent="0.25"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</row>
    <row r="63" spans="3:22" x14ac:dyDescent="0.25"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</row>
    <row r="64" spans="3:22" x14ac:dyDescent="0.25"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</row>
    <row r="65" spans="3:22" x14ac:dyDescent="0.25"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</row>
    <row r="66" spans="3:22" x14ac:dyDescent="0.25">
      <c r="C66" s="42"/>
      <c r="D66" s="42"/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4"/>
      <c r="R66" s="44"/>
      <c r="S66" s="44"/>
      <c r="T66" s="44"/>
      <c r="U66" s="42"/>
      <c r="V66" s="42"/>
    </row>
    <row r="67" spans="3:22" x14ac:dyDescent="0.25">
      <c r="C67" s="42"/>
      <c r="D67" s="42"/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4"/>
      <c r="R67" s="44"/>
      <c r="S67" s="44"/>
      <c r="T67" s="44"/>
      <c r="U67" s="42"/>
      <c r="V67" s="42"/>
    </row>
    <row r="68" spans="3:22" x14ac:dyDescent="0.25">
      <c r="C68" s="42"/>
      <c r="D68" s="42"/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</row>
    <row r="69" spans="3:22" x14ac:dyDescent="0.25">
      <c r="C69" s="42"/>
      <c r="D69" s="42"/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</row>
    <row r="70" spans="3:22" x14ac:dyDescent="0.25">
      <c r="C70" s="42"/>
      <c r="D70" s="42"/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</row>
    <row r="71" spans="3:22" x14ac:dyDescent="0.25">
      <c r="C71" s="42"/>
      <c r="D71" s="42"/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</row>
    <row r="72" spans="3:22" x14ac:dyDescent="0.25">
      <c r="C72" s="42"/>
      <c r="D72" s="42"/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</row>
    <row r="73" spans="3:22" x14ac:dyDescent="0.25">
      <c r="C73" s="42"/>
      <c r="D73" s="42"/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</row>
    <row r="74" spans="3:22" x14ac:dyDescent="0.25">
      <c r="C74" s="42"/>
      <c r="D74" s="42"/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4"/>
      <c r="R74" s="44"/>
      <c r="S74" s="44"/>
      <c r="T74" s="44"/>
      <c r="U74" s="42"/>
      <c r="V74" s="42"/>
    </row>
    <row r="75" spans="3:22" x14ac:dyDescent="0.25">
      <c r="C75" s="42"/>
      <c r="D75" s="42"/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4"/>
      <c r="R75" s="44"/>
      <c r="S75" s="44"/>
      <c r="T75" s="44"/>
      <c r="U75" s="42"/>
      <c r="V75" s="42"/>
    </row>
    <row r="76" spans="3:22" x14ac:dyDescent="0.25">
      <c r="C76" s="42"/>
      <c r="D76" s="42"/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</row>
    <row r="77" spans="3:22" x14ac:dyDescent="0.25">
      <c r="C77" s="42"/>
      <c r="D77" s="42"/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</row>
    <row r="78" spans="3:22" x14ac:dyDescent="0.25">
      <c r="C78" s="42"/>
      <c r="D78" s="42"/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</row>
    <row r="79" spans="3:22" x14ac:dyDescent="0.25">
      <c r="C79" s="42"/>
      <c r="D79" s="42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</row>
    <row r="80" spans="3:22" x14ac:dyDescent="0.25">
      <c r="C80" s="42"/>
      <c r="D80" s="42"/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</row>
    <row r="81" spans="3:22" x14ac:dyDescent="0.25">
      <c r="C81" s="42"/>
      <c r="D81" s="42"/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</row>
    <row r="82" spans="3:22" x14ac:dyDescent="0.25">
      <c r="C82" s="42"/>
      <c r="D82" s="42"/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</row>
    <row r="83" spans="3:22" x14ac:dyDescent="0.25">
      <c r="C83" s="42"/>
      <c r="D83" s="42"/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</row>
    <row r="84" spans="3:22" x14ac:dyDescent="0.25">
      <c r="C84" s="42"/>
      <c r="D84" s="42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</row>
    <row r="85" spans="3:22" x14ac:dyDescent="0.25">
      <c r="C85" s="42"/>
      <c r="D85" s="42"/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</row>
    <row r="86" spans="3:22" x14ac:dyDescent="0.25">
      <c r="C86" s="42"/>
      <c r="D86" s="42"/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</row>
    <row r="87" spans="3:22" x14ac:dyDescent="0.25">
      <c r="C87" s="42"/>
      <c r="D87" s="42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</row>
    <row r="88" spans="3:22" x14ac:dyDescent="0.25">
      <c r="C88" s="42"/>
      <c r="D88" s="42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</row>
    <row r="89" spans="3:22" x14ac:dyDescent="0.25">
      <c r="C89" s="42"/>
      <c r="D89" s="42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</row>
    <row r="90" spans="3:22" x14ac:dyDescent="0.25">
      <c r="C90" s="42"/>
      <c r="D90" s="42"/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</row>
    <row r="91" spans="3:22" x14ac:dyDescent="0.25">
      <c r="C91" s="42"/>
      <c r="D91" s="42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</row>
    <row r="92" spans="3:22" x14ac:dyDescent="0.25">
      <c r="C92" s="42"/>
      <c r="D92" s="42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</row>
    <row r="93" spans="3:22" x14ac:dyDescent="0.25">
      <c r="C93" s="42"/>
      <c r="D93" s="42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</row>
    <row r="94" spans="3:22" x14ac:dyDescent="0.25">
      <c r="C94" s="42"/>
      <c r="D94" s="42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</row>
    <row r="95" spans="3:22" x14ac:dyDescent="0.25">
      <c r="C95" s="42"/>
      <c r="D95" s="42"/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</row>
    <row r="96" spans="3:22" x14ac:dyDescent="0.25">
      <c r="C96" s="42"/>
      <c r="D96" s="42"/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</row>
    <row r="97" spans="3:22" x14ac:dyDescent="0.25">
      <c r="C97" s="42"/>
      <c r="D97" s="42"/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</row>
    <row r="98" spans="3:22" x14ac:dyDescent="0.25">
      <c r="C98" s="42"/>
      <c r="D98" s="42"/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</row>
    <row r="99" spans="3:22" x14ac:dyDescent="0.25">
      <c r="C99" s="42"/>
      <c r="D99" s="42"/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</row>
    <row r="100" spans="3:22" x14ac:dyDescent="0.25">
      <c r="C100" s="42"/>
      <c r="D100" s="42"/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</row>
    <row r="101" spans="3:22" x14ac:dyDescent="0.25">
      <c r="C101" s="42"/>
      <c r="D101" s="42"/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</row>
    <row r="102" spans="3:22" x14ac:dyDescent="0.25">
      <c r="C102" s="42"/>
      <c r="D102" s="42"/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</row>
    <row r="103" spans="3:22" x14ac:dyDescent="0.25">
      <c r="C103" s="42"/>
      <c r="D103" s="42"/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</row>
    <row r="104" spans="3:22" x14ac:dyDescent="0.25">
      <c r="C104" s="42"/>
      <c r="D104" s="42"/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</row>
    <row r="105" spans="3:22" x14ac:dyDescent="0.25">
      <c r="C105" s="42"/>
      <c r="D105" s="42"/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</row>
    <row r="106" spans="3:22" x14ac:dyDescent="0.25">
      <c r="C106" s="42"/>
      <c r="D106" s="42"/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</row>
    <row r="107" spans="3:22" x14ac:dyDescent="0.25">
      <c r="C107" s="42"/>
      <c r="D107" s="42"/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</row>
    <row r="108" spans="3:22" x14ac:dyDescent="0.25">
      <c r="C108" s="42"/>
      <c r="D108" s="42"/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</row>
    <row r="109" spans="3:22" x14ac:dyDescent="0.25">
      <c r="C109" s="42"/>
      <c r="D109" s="42"/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</row>
    <row r="110" spans="3:22" x14ac:dyDescent="0.25">
      <c r="C110" s="42"/>
      <c r="D110" s="42"/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</row>
    <row r="111" spans="3:22" x14ac:dyDescent="0.25">
      <c r="C111" s="42"/>
      <c r="D111" s="42"/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</row>
    <row r="112" spans="3:22" x14ac:dyDescent="0.25">
      <c r="C112" s="42"/>
      <c r="D112" s="42"/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</row>
    <row r="113" spans="3:22" x14ac:dyDescent="0.25">
      <c r="C113" s="42"/>
      <c r="D113" s="42"/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</row>
    <row r="114" spans="3:22" x14ac:dyDescent="0.25">
      <c r="C114" s="42"/>
      <c r="D114" s="42"/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</row>
    <row r="115" spans="3:22" x14ac:dyDescent="0.25">
      <c r="C115" s="42"/>
      <c r="D115" s="42"/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</row>
    <row r="116" spans="3:22" x14ac:dyDescent="0.25">
      <c r="C116" s="42"/>
      <c r="D116" s="42"/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</row>
    <row r="117" spans="3:22" x14ac:dyDescent="0.25">
      <c r="C117" s="42"/>
      <c r="D117" s="42"/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</row>
    <row r="118" spans="3:22" x14ac:dyDescent="0.25">
      <c r="C118" s="42"/>
      <c r="D118" s="42"/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</row>
    <row r="119" spans="3:22" x14ac:dyDescent="0.25">
      <c r="C119" s="42"/>
      <c r="D119" s="42"/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</row>
    <row r="120" spans="3:22" x14ac:dyDescent="0.25">
      <c r="C120" s="42"/>
      <c r="D120" s="42"/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</row>
    <row r="121" spans="3:22" x14ac:dyDescent="0.25">
      <c r="C121" s="42"/>
      <c r="D121" s="42"/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</row>
    <row r="122" spans="3:22" x14ac:dyDescent="0.25">
      <c r="C122" s="42"/>
      <c r="D122" s="42"/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</row>
    <row r="123" spans="3:22" x14ac:dyDescent="0.25">
      <c r="C123" s="42"/>
      <c r="D123" s="42"/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</row>
    <row r="124" spans="3:22" x14ac:dyDescent="0.25">
      <c r="C124" s="42"/>
      <c r="D124" s="42"/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</row>
    <row r="125" spans="3:22" x14ac:dyDescent="0.25">
      <c r="C125" s="42"/>
      <c r="D125" s="42"/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</row>
    <row r="126" spans="3:22" x14ac:dyDescent="0.25">
      <c r="C126" s="42"/>
      <c r="D126" s="42"/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</row>
    <row r="127" spans="3:22" x14ac:dyDescent="0.25">
      <c r="C127" s="42"/>
      <c r="D127" s="42"/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</row>
    <row r="128" spans="3:22" x14ac:dyDescent="0.25">
      <c r="C128" s="42"/>
      <c r="D128" s="42"/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</row>
    <row r="129" spans="3:22" x14ac:dyDescent="0.25">
      <c r="C129" s="42"/>
      <c r="D129" s="42"/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</row>
    <row r="130" spans="3:22" x14ac:dyDescent="0.25">
      <c r="C130" s="42"/>
      <c r="D130" s="42"/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</row>
    <row r="131" spans="3:22" x14ac:dyDescent="0.25">
      <c r="C131" s="42"/>
      <c r="D131" s="42"/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</row>
    <row r="132" spans="3:22" x14ac:dyDescent="0.25">
      <c r="C132" s="42"/>
      <c r="D132" s="42"/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</row>
    <row r="133" spans="3:22" x14ac:dyDescent="0.25">
      <c r="C133" s="42"/>
      <c r="D133" s="42"/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</row>
    <row r="134" spans="3:22" x14ac:dyDescent="0.25">
      <c r="C134" s="42"/>
      <c r="D134" s="42"/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</row>
    <row r="135" spans="3:22" x14ac:dyDescent="0.25">
      <c r="C135" s="42"/>
      <c r="D135" s="42"/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</row>
    <row r="136" spans="3:22" x14ac:dyDescent="0.25">
      <c r="C136" s="42"/>
      <c r="D136" s="42"/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</row>
    <row r="137" spans="3:22" x14ac:dyDescent="0.25">
      <c r="C137" s="42"/>
      <c r="D137" s="42"/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</row>
    <row r="138" spans="3:22" x14ac:dyDescent="0.25">
      <c r="C138" s="42"/>
      <c r="D138" s="42"/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</row>
    <row r="139" spans="3:22" x14ac:dyDescent="0.25">
      <c r="C139" s="42"/>
      <c r="D139" s="42"/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</row>
    <row r="140" spans="3:22" x14ac:dyDescent="0.25">
      <c r="C140" s="42"/>
      <c r="D140" s="42"/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</row>
    <row r="141" spans="3:22" x14ac:dyDescent="0.25">
      <c r="C141" s="42"/>
      <c r="D141" s="42"/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</row>
    <row r="142" spans="3:22" x14ac:dyDescent="0.25">
      <c r="C142" s="42"/>
      <c r="D142" s="42"/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</row>
    <row r="143" spans="3:22" x14ac:dyDescent="0.25">
      <c r="C143" s="42"/>
      <c r="D143" s="42"/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</row>
    <row r="144" spans="3:22" x14ac:dyDescent="0.25">
      <c r="C144" s="42"/>
      <c r="D144" s="42"/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</row>
    <row r="145" spans="3:22" x14ac:dyDescent="0.25">
      <c r="C145" s="42"/>
      <c r="D145" s="42"/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</row>
    <row r="146" spans="3:22" x14ac:dyDescent="0.25">
      <c r="C146" s="42"/>
      <c r="D146" s="42"/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</row>
    <row r="147" spans="3:22" x14ac:dyDescent="0.25">
      <c r="C147" s="42"/>
      <c r="D147" s="42"/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</row>
    <row r="148" spans="3:22" x14ac:dyDescent="0.25">
      <c r="C148" s="42"/>
      <c r="D148" s="42"/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</row>
    <row r="149" spans="3:22" x14ac:dyDescent="0.25">
      <c r="C149" s="42"/>
      <c r="D149" s="42"/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</row>
    <row r="150" spans="3:22" x14ac:dyDescent="0.25">
      <c r="C150" s="42"/>
      <c r="D150" s="42"/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</row>
    <row r="151" spans="3:22" x14ac:dyDescent="0.25">
      <c r="C151" s="42"/>
      <c r="D151" s="42"/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</row>
    <row r="152" spans="3:22" x14ac:dyDescent="0.25">
      <c r="C152" s="42"/>
      <c r="D152" s="42"/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</row>
    <row r="153" spans="3:22" x14ac:dyDescent="0.25">
      <c r="C153" s="42"/>
      <c r="D153" s="42"/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</row>
    <row r="154" spans="3:22" x14ac:dyDescent="0.25">
      <c r="C154" s="42"/>
      <c r="D154" s="42"/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</row>
    <row r="155" spans="3:22" x14ac:dyDescent="0.25">
      <c r="C155" s="42"/>
      <c r="D155" s="42"/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</row>
    <row r="156" spans="3:22" x14ac:dyDescent="0.25">
      <c r="C156" s="42"/>
      <c r="D156" s="42"/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</row>
    <row r="157" spans="3:22" x14ac:dyDescent="0.25">
      <c r="C157" s="42"/>
      <c r="D157" s="42"/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</row>
    <row r="158" spans="3:22" x14ac:dyDescent="0.25">
      <c r="C158" s="42"/>
      <c r="D158" s="42"/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</row>
    <row r="159" spans="3:22" x14ac:dyDescent="0.25">
      <c r="C159" s="42"/>
      <c r="D159" s="42"/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</row>
    <row r="160" spans="3:22" x14ac:dyDescent="0.25">
      <c r="C160" s="42"/>
      <c r="D160" s="42"/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</row>
    <row r="161" spans="3:22" x14ac:dyDescent="0.25">
      <c r="C161" s="42"/>
      <c r="D161" s="42"/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</row>
    <row r="162" spans="3:22" x14ac:dyDescent="0.25">
      <c r="C162" s="42"/>
      <c r="D162" s="42"/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</row>
    <row r="163" spans="3:22" x14ac:dyDescent="0.25">
      <c r="C163" s="42"/>
      <c r="D163" s="42"/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</row>
    <row r="164" spans="3:22" x14ac:dyDescent="0.25">
      <c r="C164" s="42"/>
      <c r="D164" s="42"/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</row>
    <row r="165" spans="3:22" x14ac:dyDescent="0.25">
      <c r="C165" s="42"/>
      <c r="D165" s="42"/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</row>
    <row r="166" spans="3:22" x14ac:dyDescent="0.25">
      <c r="C166" s="42"/>
      <c r="D166" s="42"/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</row>
    <row r="167" spans="3:22" x14ac:dyDescent="0.25">
      <c r="C167" s="42"/>
      <c r="D167" s="42"/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</row>
    <row r="168" spans="3:22" x14ac:dyDescent="0.25">
      <c r="C168" s="42"/>
      <c r="D168" s="42"/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</row>
    <row r="169" spans="3:22" x14ac:dyDescent="0.25">
      <c r="C169" s="42"/>
      <c r="D169" s="42"/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</row>
    <row r="170" spans="3:22" x14ac:dyDescent="0.25">
      <c r="C170" s="42"/>
      <c r="D170" s="42"/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</row>
  </sheetData>
  <customSheetViews>
    <customSheetView guid="{11DA137D-FA21-4924-8652-5200ADF70677}">
      <pane ySplit="2" topLeftCell="A3" activePane="bottomLeft" state="frozen"/>
      <selection pane="bottomLeft"/>
      <pageMargins left="0.7" right="0.7" top="0.75" bottom="0.75" header="0.3" footer="0.3"/>
    </customSheetView>
  </customSheetView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9" id="{5FBFD6B1-E038-4DB9-B772-386A2393E8C6}">
            <xm:f>$B2=myStatus!$A$5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0" id="{0B12AC8E-38E4-4CD5-B1BD-4D19726F9FB1}">
            <xm:f>$B2=myStatus!$A$4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1" id="{6FFF89AD-6A0D-4D3C-BA97-A6058FF16DA3}">
            <xm:f>$B2=myStatus!$A$3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B2:T1048576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zoomScale="85" zoomScaleNormal="85" workbookViewId="0">
      <pane ySplit="2" topLeftCell="A3" activePane="bottomLeft" state="frozen"/>
      <selection pane="bottomLeft" activeCell="H13" sqref="H13"/>
    </sheetView>
  </sheetViews>
  <sheetFormatPr defaultRowHeight="15" x14ac:dyDescent="0.25"/>
  <cols>
    <col min="1" max="1" bestFit="true" customWidth="true" style="2" width="9.42578125" collapsed="true"/>
    <col min="2" max="2" bestFit="true" customWidth="true" style="2" width="6.42578125" collapsed="true"/>
    <col min="3" max="3" bestFit="true" customWidth="true" style="2" width="5.28515625" collapsed="true"/>
    <col min="4" max="4" bestFit="true" customWidth="true" style="2" width="10.85546875" collapsed="true"/>
    <col min="5" max="5" bestFit="true" customWidth="true" style="2" width="16.42578125" collapsed="true"/>
    <col min="6" max="6" bestFit="true" customWidth="true" style="2" width="12.7109375" collapsed="true"/>
    <col min="7" max="7" bestFit="true" customWidth="true" style="2" width="6.5703125" collapsed="true"/>
    <col min="8" max="8" bestFit="true" customWidth="true" style="2" width="12.0" collapsed="true"/>
    <col min="9" max="9" bestFit="true" customWidth="true" style="2" width="11.42578125" collapsed="true"/>
    <col min="10" max="10" bestFit="true" customWidth="true" style="2" width="12.42578125" collapsed="true"/>
    <col min="11" max="11" bestFit="true" customWidth="true" style="2" width="11.140625" collapsed="true"/>
    <col min="12" max="12" bestFit="true" customWidth="true" style="2" width="15.140625" collapsed="true"/>
    <col min="13" max="13" bestFit="true" customWidth="true" style="2" width="10.0" collapsed="true"/>
    <col min="14" max="14" bestFit="true" customWidth="true" style="2" width="10.28515625" collapsed="true"/>
    <col min="15" max="15" bestFit="true" customWidth="true" style="2" width="11.5703125" collapsed="true"/>
    <col min="16" max="16" bestFit="true" customWidth="true" style="2" width="12.140625" collapsed="true"/>
    <col min="17" max="17" bestFit="true" customWidth="true" style="2" width="11.42578125" collapsed="true"/>
    <col min="18" max="18" bestFit="true" customWidth="true" style="2" width="17.7109375" collapsed="true"/>
    <col min="19" max="19" bestFit="true" customWidth="true" style="2" width="12.0" collapsed="true"/>
    <col min="20" max="20" bestFit="true" customWidth="true" style="2" width="10.5703125" collapsed="true"/>
    <col min="21" max="16384" style="2" width="9.140625" collapsed="true"/>
  </cols>
  <sheetData>
    <row r="1" spans="1:21" ht="15.75" thickBot="1" x14ac:dyDescent="0.3">
      <c r="A1" s="13" t="s">
        <v>55</v>
      </c>
      <c r="B1"/>
      <c r="C1" s="90"/>
      <c r="D1" s="90"/>
      <c r="E1" s="90"/>
      <c r="H1" s="90"/>
      <c r="I1" s="90"/>
      <c r="J1" s="90"/>
      <c r="K1" s="90"/>
      <c r="L1" s="90"/>
      <c r="M1" s="90"/>
      <c r="N1" s="90"/>
      <c r="O1" s="90"/>
      <c r="P1" s="90"/>
      <c r="Q1" s="90"/>
    </row>
    <row r="2" spans="1:21" s="7" customFormat="1" ht="16.5" thickTop="1" thickBot="1" x14ac:dyDescent="0.3">
      <c r="A2" s="1" t="s">
        <v>30</v>
      </c>
      <c r="B2" s="1" t="s">
        <v>3</v>
      </c>
      <c r="C2" s="1" t="s">
        <v>90</v>
      </c>
      <c r="D2" s="1" t="s">
        <v>91</v>
      </c>
      <c r="E2" s="1" t="s">
        <v>16</v>
      </c>
      <c r="F2" s="1" t="s">
        <v>17</v>
      </c>
      <c r="G2" s="1" t="s">
        <v>53</v>
      </c>
      <c r="H2" s="1" t="s">
        <v>18</v>
      </c>
      <c r="I2" s="1" t="s">
        <v>19</v>
      </c>
      <c r="J2" s="1" t="s">
        <v>20</v>
      </c>
      <c r="K2" s="1" t="s">
        <v>21</v>
      </c>
      <c r="L2" s="1" t="s">
        <v>22</v>
      </c>
      <c r="M2" s="1" t="s">
        <v>23</v>
      </c>
      <c r="N2" s="1" t="s">
        <v>24</v>
      </c>
      <c r="O2" s="1" t="s">
        <v>25</v>
      </c>
      <c r="P2" s="1" t="s">
        <v>26</v>
      </c>
      <c r="Q2" s="1" t="s">
        <v>27</v>
      </c>
      <c r="R2" s="1" t="s">
        <v>29</v>
      </c>
      <c r="S2" s="1" t="s">
        <v>28</v>
      </c>
      <c r="T2" s="1" t="s">
        <v>7</v>
      </c>
      <c r="U2" s="42"/>
    </row>
    <row r="3" spans="1:21" s="7" customFormat="1" ht="15.75" thickTop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</sheetData>
  <customSheetViews>
    <customSheetView guid="{11DA137D-FA21-4924-8652-5200ADF70677}">
      <pane ySplit="2" topLeftCell="A3" activePane="bottomLeft" state="frozen"/>
      <selection pane="bottomLeft"/>
      <pageMargins left="0.7" right="0.7" top="0.75" bottom="0.75" header="0.3" footer="0.3"/>
      <pageSetup paperSize="9" orientation="portrait" r:id="rId1"/>
    </customSheetView>
  </customSheetViews>
  <mergeCells count="2">
    <mergeCell ref="C1:E1"/>
    <mergeCell ref="H1:Q1"/>
  </mergeCells>
  <hyperlinks>
    <hyperlink ref="A1" location="Summary!A1" display="Summary"/>
  </hyperlinks>
  <pageMargins left="0.7" right="0.7" top="0.75" bottom="0.75" header="0.3" footer="0.3"/>
  <pageSetup paperSize="9" orientation="portrait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3" id="{88F1653B-04B2-4718-A898-6676E84AA3C8}">
            <xm:f>$A3=myStatus!$A$5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4" id="{C9EF03FF-9978-431E-B457-85D70229CFCD}">
            <xm:f>$A3=myStatus!$A$4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5" id="{3398CF9A-4AB2-4DFE-A078-7E4421E53F14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A3:P1048576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A3:A8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"/>
  <sheetViews>
    <sheetView zoomScale="85" zoomScaleNormal="85" workbookViewId="0">
      <pane ySplit="2" topLeftCell="A3" activePane="bottomLeft" state="frozen"/>
      <selection pane="bottomLeft" activeCell="C2" sqref="C2"/>
    </sheetView>
  </sheetViews>
  <sheetFormatPr defaultRowHeight="15" x14ac:dyDescent="0.25"/>
  <cols>
    <col min="1" max="1" bestFit="true" customWidth="true" style="2" width="9.42578125" collapsed="true"/>
    <col min="2" max="2" customWidth="true" style="2" width="13.42578125" collapsed="true"/>
    <col min="3" max="3" bestFit="true" customWidth="true" style="2" width="8.140625" collapsed="true"/>
    <col min="4" max="4" bestFit="true" customWidth="true" style="2" width="47.85546875" collapsed="true"/>
    <col min="5" max="5" bestFit="true" customWidth="true" style="2" width="86.140625" collapsed="true"/>
    <col min="6" max="6" bestFit="true" customWidth="true" style="2" width="189.85546875" collapsed="true"/>
    <col min="7" max="16384" style="2" width="9.140625" collapsed="true"/>
  </cols>
  <sheetData>
    <row r="1" spans="1:6" ht="15.75" thickBot="1" x14ac:dyDescent="0.3">
      <c r="A1" s="10" t="s">
        <v>55</v>
      </c>
      <c r="B1" s="10"/>
      <c r="C1" s="10"/>
      <c r="D1" s="10"/>
      <c r="E1" s="10"/>
      <c r="F1" s="10"/>
    </row>
    <row r="2" spans="1:6" ht="15.75" thickTop="1" x14ac:dyDescent="0.25">
      <c r="A2" s="11" t="s">
        <v>3</v>
      </c>
      <c r="B2" s="43" t="s">
        <v>44</v>
      </c>
      <c r="C2" s="43" t="s">
        <v>92</v>
      </c>
      <c r="D2" s="43" t="s">
        <v>45</v>
      </c>
      <c r="E2" s="43" t="s">
        <v>46</v>
      </c>
      <c r="F2" s="43" t="s">
        <v>47</v>
      </c>
    </row>
    <row r="3" spans="1:6" x14ac:dyDescent="0.25">
      <c r="E3" s="44"/>
    </row>
  </sheetData>
  <customSheetViews>
    <customSheetView guid="{11DA137D-FA21-4924-8652-5200ADF70677}">
      <pane ySplit="2" topLeftCell="A3" activePane="bottomLeft" state="frozen"/>
      <selection pane="bottomLeft"/>
      <pageMargins left="0.7" right="0.7" top="0.75" bottom="0.75" header="0.3" footer="0.3"/>
    </customSheetView>
  </customSheetViews>
  <hyperlinks>
    <hyperlink ref="A1" location="Summary!A1" display="Summary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78" id="{64983D1F-B214-45D7-B288-131AD3B39C12}">
            <xm:f>$A3=myStatus!$A$5</xm:f>
            <x14:dxf>
              <fill>
                <patternFill>
                  <bgColor rgb="FF92D050"/>
                </patternFill>
              </fill>
            </x14:dxf>
          </x14:cfRule>
          <x14:cfRule type="expression" priority="179" id="{F6C42FAF-9328-46E7-814B-24D4D253D63F}">
            <xm:f>$A3=myStatus!$A$4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80" id="{2B7D3459-F674-427A-8621-E53BB61F1A56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</x14:dxf>
          </x14:cfRule>
          <xm:sqref>A3:F1048576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L25"/>
  <sheetViews>
    <sheetView zoomScale="85" zoomScaleNormal="85" workbookViewId="0">
      <pane ySplit="1" topLeftCell="A2" activePane="bottomLeft" state="frozen"/>
      <selection pane="bottomLeft" activeCell="F13" sqref="F13"/>
    </sheetView>
  </sheetViews>
  <sheetFormatPr defaultRowHeight="15" x14ac:dyDescent="0.25"/>
  <cols>
    <col min="1" max="1" bestFit="true" customWidth="true" style="42" width="48.5703125" collapsed="true"/>
    <col min="2" max="2" bestFit="true" customWidth="true" style="42" width="9.7109375" collapsed="true"/>
    <col min="3" max="3" bestFit="true" customWidth="true" style="42" width="8.5703125" collapsed="true"/>
    <col min="4" max="4" bestFit="true" customWidth="true" style="42" width="15.0" collapsed="true"/>
    <col min="5" max="5" bestFit="true" customWidth="true" style="42" width="8.0" collapsed="true"/>
    <col min="6" max="6" bestFit="true" customWidth="true" style="42" width="39.0" collapsed="true"/>
    <col min="7" max="7" bestFit="true" customWidth="true" style="42" width="17.7109375" collapsed="true"/>
    <col min="8" max="10" bestFit="true" customWidth="true" style="42" width="255.7109375" collapsed="true"/>
    <col min="11" max="11" bestFit="true" customWidth="true" style="42" width="18.28515625" collapsed="true"/>
    <col min="12" max="16384" style="42" width="9.140625" collapsed="true"/>
  </cols>
  <sheetData>
    <row r="1" spans="1:12" s="6" customFormat="1" ht="16.5" thickTop="1" thickBot="1" x14ac:dyDescent="0.3">
      <c r="A1" s="1" t="s">
        <v>57</v>
      </c>
      <c r="B1" s="4" t="s">
        <v>3</v>
      </c>
      <c r="C1" s="4" t="s">
        <v>8</v>
      </c>
      <c r="D1" s="4" t="s">
        <v>9</v>
      </c>
      <c r="E1" s="4"/>
      <c r="F1" s="4" t="s">
        <v>10</v>
      </c>
      <c r="G1" s="4" t="s">
        <v>11</v>
      </c>
      <c r="H1" s="4" t="s">
        <v>12</v>
      </c>
      <c r="I1" s="4" t="s">
        <v>13</v>
      </c>
      <c r="J1" s="4" t="s">
        <v>14</v>
      </c>
      <c r="K1" s="4" t="s">
        <v>15</v>
      </c>
      <c r="L1" s="42"/>
    </row>
    <row r="2" spans="1:12" s="14" customFormat="1" ht="15.75" thickTop="1" x14ac:dyDescent="0.25"/>
    <row r="3" spans="1:12" s="14" customFormat="1" x14ac:dyDescent="0.25"/>
    <row r="4" spans="1:12" s="14" customFormat="1" x14ac:dyDescent="0.25"/>
    <row r="5" spans="1:12" s="14" customFormat="1" x14ac:dyDescent="0.25"/>
    <row r="6" spans="1:12" s="14" customFormat="1" x14ac:dyDescent="0.25"/>
    <row r="7" spans="1:12" s="14" customFormat="1" x14ac:dyDescent="0.25"/>
    <row r="8" spans="1:12" s="14" customFormat="1" x14ac:dyDescent="0.25"/>
    <row r="9" spans="1:12" s="14" customFormat="1" x14ac:dyDescent="0.25"/>
    <row r="10" spans="1:12" s="14" customFormat="1" x14ac:dyDescent="0.25"/>
    <row r="11" spans="1:12" s="14" customFormat="1" x14ac:dyDescent="0.25"/>
    <row r="12" spans="1:12" s="14" customFormat="1" x14ac:dyDescent="0.25"/>
    <row r="13" spans="1:12" s="14" customFormat="1" x14ac:dyDescent="0.25"/>
    <row r="14" spans="1:12" s="14" customFormat="1" x14ac:dyDescent="0.25"/>
    <row r="15" spans="1:12" s="14" customFormat="1" x14ac:dyDescent="0.25"/>
    <row r="16" spans="1:12" s="14" customFormat="1" x14ac:dyDescent="0.25"/>
    <row r="17" s="14" customFormat="1" x14ac:dyDescent="0.25"/>
    <row r="18" s="14" customFormat="1" x14ac:dyDescent="0.25"/>
    <row r="19" s="14" customFormat="1" x14ac:dyDescent="0.25"/>
    <row r="20" s="14" customFormat="1" x14ac:dyDescent="0.25"/>
    <row r="21" s="14" customFormat="1" x14ac:dyDescent="0.25"/>
    <row r="22" s="14" customFormat="1" x14ac:dyDescent="0.25"/>
    <row r="23" s="14" customFormat="1" x14ac:dyDescent="0.25"/>
    <row r="24" s="14" customFormat="1" x14ac:dyDescent="0.25"/>
    <row r="25" s="14" customFormat="1" x14ac:dyDescent="0.25"/>
  </sheetData>
  <autoFilter ref="A1:L60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4591DACC-3478-4E7D-8E39-DAD579E41C9A}">
            <xm:f>$B68=myStatus!$A$5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" id="{6041E8A2-A469-49F0-80D4-63269D322AD6}">
            <xm:f>$B68=myStatus!$A$4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" id="{27C8CF1C-4F11-494A-A299-2E5A1865895D}">
            <xm:f>$B68=myStatus!$A$3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B68:K155 B158:K1048576</xm:sqref>
        </x14:conditionalFormatting>
        <x14:conditionalFormatting xmlns:xm="http://schemas.microsoft.com/office/excel/2006/main">
          <x14:cfRule type="expression" priority="4" id="{CE34AFF0-C0FD-4659-A095-19063979654C}">
            <xm:f>#REF!=myStatus!$A$5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" id="{61B0AB2D-8629-4915-B166-3B4991B6066A}">
            <xm:f>#REF!=myStatus!$A$4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" id="{E2D47F42-4BFD-412F-A2EC-63E9E62A9B51}">
            <xm:f>#REF!=myStatus!$A$3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K156:K157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B68:B127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7"/>
  <sheetViews>
    <sheetView workbookViewId="0">
      <selection activeCell="F27" sqref="F27"/>
    </sheetView>
  </sheetViews>
  <sheetFormatPr defaultRowHeight="15" x14ac:dyDescent="0.25"/>
  <cols>
    <col min="1" max="3" style="2" width="9.140625" collapsed="true"/>
    <col min="4" max="4" bestFit="true" customWidth="true" style="2" width="12.42578125" collapsed="true"/>
    <col min="5" max="16384" style="2" width="9.140625" collapsed="true"/>
  </cols>
  <sheetData>
    <row r="1" spans="1:4" ht="15.75" thickBot="1" x14ac:dyDescent="0.3">
      <c r="A1" s="9" t="s">
        <v>55</v>
      </c>
    </row>
    <row r="2" spans="1:4" ht="15.75" thickTop="1" x14ac:dyDescent="0.25">
      <c r="A2" s="12" t="s">
        <v>3</v>
      </c>
      <c r="B2" s="12" t="s">
        <v>48</v>
      </c>
      <c r="C2" s="12" t="s">
        <v>56</v>
      </c>
      <c r="D2" s="12" t="s">
        <v>54</v>
      </c>
    </row>
    <row r="3" spans="1:4" x14ac:dyDescent="0.25">
      <c r="A3" s="3" t="s">
        <v>0</v>
      </c>
      <c r="B3" s="5" t="s">
        <v>49</v>
      </c>
      <c r="C3" s="2" t="s">
        <v>50</v>
      </c>
      <c r="D3" s="3" t="s">
        <v>186</v>
      </c>
    </row>
    <row r="4" spans="1:4" x14ac:dyDescent="0.25">
      <c r="A4" s="3" t="s">
        <v>1</v>
      </c>
      <c r="B4" s="5" t="s">
        <v>51</v>
      </c>
      <c r="C4" s="5"/>
      <c r="D4" s="3" t="s">
        <v>155</v>
      </c>
    </row>
    <row r="5" spans="1:4" x14ac:dyDescent="0.25">
      <c r="A5" s="3" t="s">
        <v>2</v>
      </c>
      <c r="B5" s="5" t="s">
        <v>52</v>
      </c>
      <c r="C5" s="5"/>
      <c r="D5" s="3" t="s">
        <v>187</v>
      </c>
    </row>
    <row r="6" spans="1:4" x14ac:dyDescent="0.25">
      <c r="A6" s="3" t="s">
        <v>6</v>
      </c>
      <c r="C6" s="5"/>
      <c r="D6" s="3" t="s">
        <v>188</v>
      </c>
    </row>
    <row r="7" spans="1:4" x14ac:dyDescent="0.25">
      <c r="C7" s="5"/>
      <c r="D7" s="3" t="s">
        <v>189</v>
      </c>
    </row>
  </sheetData>
  <customSheetViews>
    <customSheetView guid="{11DA137D-FA21-4924-8652-5200ADF70677}" state="hidden">
      <selection activeCell="C1" sqref="C1"/>
      <pageMargins left="0.7" right="0.7" top="0.75" bottom="0.75" header="0.3" footer="0.3"/>
    </customSheetView>
  </customSheetViews>
  <hyperlinks>
    <hyperlink ref="A1" location="Summary!A1" display="Summary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Summary</vt:lpstr>
      <vt:lpstr>Status repot</vt:lpstr>
      <vt:lpstr>pk_check_package before</vt:lpstr>
      <vt:lpstr>Patch list</vt:lpstr>
      <vt:lpstr>DB member list</vt:lpstr>
      <vt:lpstr>TFT op.</vt:lpstr>
      <vt:lpstr>List Of Synergy Objects</vt:lpstr>
      <vt:lpstr>DB tables impactes</vt:lpstr>
      <vt:lpstr>Syn Conflicts</vt:lpstr>
      <vt:lpstr>DB conflicts</vt:lpstr>
      <vt:lpstr>TOS-Error</vt:lpstr>
      <vt:lpstr>pk_check_package after</vt:lpstr>
      <vt:lpstr>myStatus</vt:lpstr>
    </vt:vector>
  </TitlesOfParts>
  <Company>Callatay &amp; Wouters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2012-12-13T08:07:28Z</dcterms:created>
  <dc:creator>Thomas De Roy</dc:creator>
  <cp:lastModifiedBy>bkokobe</cp:lastModifiedBy>
  <dcterms:modified xsi:type="dcterms:W3CDTF">2016-05-27T19:57:01Z</dcterms:modified>
</cp:coreProperties>
</file>
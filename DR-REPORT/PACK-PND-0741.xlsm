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7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<sst xmlns="http://schemas.openxmlformats.org/spreadsheetml/2006/main" count="2028" uniqueCount="644">
  <si>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</si>
  <si>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</si>
  <si>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</si>
  <si>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</si>
  <si>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</si>
  <si>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</si>
  <si>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</si>
  <si>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</si>
  <si>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</si>
  <si>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</si>
  <si>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</si>
  <si>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</si>
  <si>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</si>
  <si>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</si>
  <si>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</si>
  <si>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</si>
  <si>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</si>
  <si>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</si>
  <si>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</si>
  <si>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</si>
  <si>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</si>
  <si>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</si>
  <si>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</si>
  <si>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</si>
  <si>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</si>
  <si>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</si>
  <si>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</si>
  <si>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</si>
  <si>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</si>
  <si>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</si>
  <si>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</si>
  <si>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</si>
  <si>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</si>
  <si>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</si>
  <si>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</si>
  <si>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</si>
  <si>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</si>
  <si>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</si>
  <si>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</si>
  <si>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</si>
  <si>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</si>
  <si>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</si>
  <si>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</si>
  <si>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</si>
  <si>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</si>
  <si>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</si>
  <si>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</si>
  <si>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</si>
  <si>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</si>
  <si>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</si>
  <si>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</si>
  <si>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</si>
  <si>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</si>
  <si>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</si>
  <si>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</si>
  <si>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</si>
  <si>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</si>
  <si>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</si>
  <si>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</si>
  <si>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</si>
  <si>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</si>
  <si>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</si>
  <si>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</si>
  <si>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</si>
  <si>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</si>
  <si>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</si>
  <si>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</si>
  <si>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</si>
  <si>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</si>
  <si>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</si>
  <si>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</si>
  <si>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</si>
  <si>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</si>
  <si>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</si>
  <si>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</si>
  <si>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</si>
  <si>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</si>
  <si>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</si>
  <si>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</si>
  <si>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</si>
  <si>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</si>
  <si>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</si>
  <si>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</si>
  <si>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</si>
  <si>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</si>
  <si>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</si>
  <si>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</si>
  <si>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</si>
  <si>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</si>
  <si>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</si>
  <si>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</si>
  <si>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</si>
  <si>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</si>
  <si>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</si>
  <si>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</si>
  <si>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</si>
  <si>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</si>
  <si>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</si>
  <si>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</si>
  <si>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</si>
  <si>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</si>
  <si>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</si>
  <si>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</si>
  <si>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</si>
  <si>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</si>
  <si>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</si>
  <si>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</si>
  <si>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</si>
  <si>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</si>
  <si>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</si>
  <si>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</si>
  <si>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</si>
  <si>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</si>
  <si>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</si>
  <si>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</si>
  <si>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</si>
  <si>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</si>
  <si>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</si>
  <si>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</si>
  <si>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</si>
  <si>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</si>
  <si>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</si>
  <si>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</si>
  <si>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</si>
  <si>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</si>
  <si>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</si>
  <si>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</si>
  <si>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</si>
  <si>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</si>
  <si>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</si>
  <si>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</si>
  <si>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</si>
  <si>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</si>
  <si>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</si>
  <si>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</si>
  <si>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</si>
  <si>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</si>
  <si>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</si>
  <si>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</si>
  <si>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</si>
  <si>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</si>
  <si>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</si>
  <si>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</si>
  <si>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</si>
  <si>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</si>
  <si>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</si>
  <si>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</si>
  <si>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</si>
  <si>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</si>
  <si>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</si>
  <si>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</si>
  <si>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</si>
  <si>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</si>
  <si>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</si>
  <si>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</si>
  <si>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</si>
  <si>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</si>
  <si>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</si>
  <si>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</si>
  <si>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</si>
  <si>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</si>
  <si>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</si>
  <si>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</si>
  <si>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</si>
  <si>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</si>
  <si>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</si>
  <si>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</si>
  <si>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</si>
  <si>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</si>
  <si>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</si>
  <si>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</si>
  <si>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</si>
  <si>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</si>
  <si>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</si>
  <si>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</si>
  <si>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</si>
  <si>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</si>
  <si>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</si>
  <si>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</si>
  <si>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</si>
  <si>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</si>
  <si>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</si>
  <si>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</si>
  <si>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</si>
  <si>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</si>
  <si>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</si>
  <si>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</si>
  <si>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</si>
  <si>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</si>
  <si>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</si>
  <si>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</si>
  <si>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</si>
  <si>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</si>
  <si>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Substep</t>
  </si>
  <si>
    <t>Batches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</si>
  <si>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</si>
  <si>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</si>
  <si>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</si>
  <si>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</si>
  <si>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</si>
  <si>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</si>
  <si>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</si>
  <si>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</si>
  <si>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</si>
  <si>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</si>
  <si>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</si>
  <si>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</si>
  <si>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</si>
  <si>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</si>
  <si>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</si>
  <si>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</si>
  <si>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</si>
  <si>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</si>
  <si>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</si>
  <si>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</si>
  <si>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</si>
  <si>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</si>
  <si>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</si>
  <si>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</si>
  <si>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</si>
  <si>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</si>
  <si>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</si>
  <si>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</si>
  <si>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</si>
  <si>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</si>
  <si>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</si>
  <si>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</si>
  <si>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</si>
  <si>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</si>
  <si>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</si>
  <si>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</si>
  <si>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</si>
  <si>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</si>
  <si>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</si>
  <si>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</si>
  <si>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</si>
  <si>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</si>
  <si>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</si>
  <si>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</si>
  <si>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</si>
  <si>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</si>
  <si>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</si>
  <si>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</si>
  <si>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</si>
  <si>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</si>
  <si>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</si>
  <si>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</si>
  <si>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</si>
  <si>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</si>
  <si>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</si>
  <si>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</si>
  <si>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</si>
  <si>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</si>
  <si>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</si>
  <si>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</si>
  <si>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</si>
  <si>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</si>
  <si>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</si>
  <si>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</si>
  <si>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</si>
  <si>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</si>
  <si>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</si>
  <si>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</si>
  <si>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</si>
  <si>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</si>
  <si>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</si>
  <si>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</si>
  <si>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</si>
  <si>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</si>
  <si>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</si>
  <si>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</si>
  <si>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</si>
  <si>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</si>
  <si>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</si>
  <si>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</si>
  <si>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</si>
  <si>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</si>
  <si>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</si>
  <si>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</si>
  <si>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</si>
  <si>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</si>
  <si>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</si>
  <si>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</si>
  <si>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</si>
  <si>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</si>
  <si>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</si>
  <si>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</si>
  <si>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</si>
  <si>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</si>
  <si>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</si>
  <si>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</si>
  <si>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</si>
  <si>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</si>
  <si>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</si>
  <si>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</si>
  <si>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</si>
  <si>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</si>
  <si>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</si>
  <si>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</si>
  <si>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</si>
  <si>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</si>
  <si>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</si>
  <si>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</si>
  <si>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</si>
  <si>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</si>
  <si>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</si>
  <si>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</si>
  <si>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</si>
  <si>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</si>
  <si>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</si>
  <si>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</si>
  <si>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</si>
  <si>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</si>
  <si>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</si>
  <si>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</si>
  <si>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</si>
  <si>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</si>
  <si>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</si>
  <si>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</si>
  <si>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</si>
  <si>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</si>
  <si>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</si>
  <si>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</si>
  <si>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</si>
  <si>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</si>
  <si>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</si>
  <si>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</si>
  <si>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</si>
  <si>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</si>
  <si>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</si>
  <si>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</si>
  <si>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</si>
  <si>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</si>
  <si>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</si>
  <si>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</si>
  <si>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</si>
  <si>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</si>
  <si>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</si>
  <si>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</si>
  <si>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</si>
  <si>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</si>
  <si>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</si>
  <si>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</si>
  <si>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</si>
  <si>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</si>
  <si>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</si>
  <si>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</si>
  <si>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</si>
  <si>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</si>
  <si>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</si>
  <si>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</si>
  <si>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</si>
  <si>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</si>
  <si>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</si>
  <si>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</si>
  <si>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</si>
  <si>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</si>
  <si>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</si>
  <si>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PACK-PND-0741</t>
  </si>
  <si>
    <t xml:space="preserve">[dr] CP delivery SaaS (compliance) </t>
  </si>
  <si>
    <t>CW6PND</t>
  </si>
  <si>
    <t>SASPRG</t>
  </si>
  <si>
    <t>D-A212</t>
  </si>
  <si>
    <t>patch_quality_approved</t>
  </si>
  <si>
    <t>CL</t>
  </si>
  <si>
    <t>Bug</t>
  </si>
  <si>
    <t>DEV-XI-1-02</t>
  </si>
  <si>
    <t xml:space="preserve">[patch] Wrong results displayed when searching by BIC code or supplier code in the summary of the banking institutions </t>
  </si>
  <si>
    <t>D-A23Q</t>
  </si>
  <si>
    <t>Translation / Documentation</t>
  </si>
  <si>
    <t xml:space="preserve">[patch] Translations for add-on DEV-XI-1-02                                                    </t>
  </si>
  <si>
    <t>D-A23Z</t>
  </si>
  <si>
    <t>JACL</t>
  </si>
  <si>
    <t xml:space="preserve">Copy of patch D-A23Q for the group JACL                                                      </t>
  </si>
  <si>
    <t>D-A240</t>
  </si>
  <si>
    <t>JRCL</t>
  </si>
  <si>
    <t xml:space="preserve">Copy of patch D-A23Q for the group JRCL                                                      </t>
  </si>
  <si>
    <t>D-A241</t>
  </si>
  <si>
    <t>XI-1</t>
  </si>
  <si>
    <t xml:space="preserve">Copy of patch D-A23Q for the group XI-1                                                      </t>
  </si>
  <si>
    <t>D-A26V</t>
  </si>
  <si>
    <t xml:space="preserve">[patch] Abnormal displaying of fields in banking institution summary(CLRL0E)                                         </t>
  </si>
  <si>
    <t>I-ADFP</t>
  </si>
  <si>
    <t>YS-2</t>
  </si>
  <si>
    <t>New functionality</t>
  </si>
  <si>
    <t>DEV-XI-1-01</t>
  </si>
  <si>
    <t xml:space="preserve">[patch] Iban plus directory                                                                            </t>
  </si>
  <si>
    <t>I-ADTT</t>
  </si>
  <si>
    <t>I-AG0I</t>
  </si>
  <si>
    <t>XI</t>
  </si>
  <si>
    <t xml:space="preserve">[patch] Ability to load Bank Directory Plus file                                                         </t>
  </si>
  <si>
    <t>I-AG0K</t>
  </si>
  <si>
    <t>I-AG54</t>
  </si>
  <si>
    <t xml:space="preserve">[patch] Ability to load Bank Directory Plus file                                                       </t>
  </si>
  <si>
    <t>I-AG7P</t>
  </si>
  <si>
    <t>I-AG7R</t>
  </si>
  <si>
    <t>I-AG8Z</t>
  </si>
  <si>
    <t xml:space="preserve">[patch] Failure when modifying a banking institution                                                                   </t>
  </si>
  <si>
    <t>I-AGAM</t>
  </si>
  <si>
    <t>I-AGAN</t>
  </si>
  <si>
    <t>I-AGAV</t>
  </si>
  <si>
    <t>I-AGBC</t>
  </si>
  <si>
    <t>Rationalization</t>
  </si>
  <si>
    <t xml:space="preserve">[patch] Ability to load Bank Directory Plus file - Standard checks                                         </t>
  </si>
  <si>
    <t>I-AGBD</t>
  </si>
  <si>
    <t xml:space="preserve">[patch] Ability to load Bank Directory Plus file - Standard checks                                       </t>
  </si>
  <si>
    <t>I-AGBT</t>
  </si>
  <si>
    <t>I-AGC0</t>
  </si>
  <si>
    <t>Statutory evolution</t>
  </si>
  <si>
    <t xml:space="preserve">[patch] Ability to load Bank Directory Plus file - Standard checks                                   </t>
  </si>
  <si>
    <t>I-AGC1</t>
  </si>
  <si>
    <t>I-AGCE</t>
  </si>
  <si>
    <t>I-AGCI</t>
  </si>
  <si>
    <t>batch_j2</t>
  </si>
  <si>
    <t>br#113464</t>
  </si>
  <si>
    <t>dir</t>
  </si>
  <si>
    <t>2</t>
  </si>
  <si>
    <t>br#116</t>
  </si>
  <si>
    <t>CLTE.mdl</t>
  </si>
  <si>
    <t>br#113486</t>
  </si>
  <si>
    <t>mdl</t>
  </si>
  <si>
    <t>1</t>
  </si>
  <si>
    <t>br#1</t>
  </si>
  <si>
    <t>CLTER.mdl</t>
  </si>
  <si>
    <t>routine_model</t>
  </si>
  <si>
    <t>6.1.1</t>
  </si>
  <si>
    <t>br#20</t>
  </si>
  <si>
    <t>tp_model</t>
  </si>
  <si>
    <t>11.1.1</t>
  </si>
  <si>
    <t>br#11</t>
  </si>
  <si>
    <t>br#113595</t>
  </si>
  <si>
    <t>pk-cl-02-99.doc</t>
  </si>
  <si>
    <t>ms_doc</t>
  </si>
  <si>
    <t>5.1.9.1.1</t>
  </si>
  <si>
    <t>br#113724</t>
  </si>
  <si>
    <t>br#113762</t>
  </si>
  <si>
    <t>3</t>
  </si>
  <si>
    <t>CLXE01.ctv</t>
  </si>
  <si>
    <t>ctv</t>
  </si>
  <si>
    <t>CLXE02.ctv</t>
  </si>
  <si>
    <t>pk-cl-02-98.doc</t>
  </si>
  <si>
    <t>17.1.1</t>
  </si>
  <si>
    <t>5.1.9.1.3</t>
  </si>
  <si>
    <t>screen</t>
  </si>
  <si>
    <t>20.1.1</t>
  </si>
  <si>
    <t>br#12</t>
  </si>
  <si>
    <t>20.1.2</t>
  </si>
  <si>
    <t>br#113764</t>
  </si>
  <si>
    <t>5.1.9.1.2</t>
  </si>
  <si>
    <t>CLLER.cbl</t>
  </si>
  <si>
    <t>br#113834</t>
  </si>
  <si>
    <t>cbl</t>
  </si>
  <si>
    <t>CLSE.cbl</t>
  </si>
  <si>
    <t>CLSE01.ctv</t>
  </si>
  <si>
    <t>CLSE02.ctv</t>
  </si>
  <si>
    <t>routine</t>
  </si>
  <si>
    <t>br#13</t>
  </si>
  <si>
    <t>20.1.3</t>
  </si>
  <si>
    <t>20.1.4</t>
  </si>
  <si>
    <t>tp</t>
  </si>
  <si>
    <t>10.1.1</t>
  </si>
  <si>
    <t>br#114101</t>
  </si>
  <si>
    <t>4</t>
  </si>
  <si>
    <t>br#114270</t>
  </si>
  <si>
    <t>XI.unv</t>
  </si>
  <si>
    <t>br#114505</t>
  </si>
  <si>
    <t>bouniv</t>
  </si>
  <si>
    <t>3.1.3</t>
  </si>
  <si>
    <t>XIT004.cbl</t>
  </si>
  <si>
    <t>br#114579,br#115095</t>
  </si>
  <si>
    <t>br#114579</t>
  </si>
  <si>
    <t>br#114586</t>
  </si>
  <si>
    <t>5</t>
  </si>
  <si>
    <t>br#114929</t>
  </si>
  <si>
    <t>br#114930</t>
  </si>
  <si>
    <t>6</t>
  </si>
  <si>
    <t>br#114948</t>
  </si>
  <si>
    <t>XIL031 - Update results of the Bank Directory table.rep</t>
  </si>
  <si>
    <t>br#114979</t>
  </si>
  <si>
    <t>bolist</t>
  </si>
  <si>
    <t>bo_list</t>
  </si>
  <si>
    <t>br#131</t>
  </si>
  <si>
    <t>br#114980</t>
  </si>
  <si>
    <t>doc</t>
  </si>
  <si>
    <t>br#114996</t>
  </si>
  <si>
    <t>br#315</t>
  </si>
  <si>
    <t>pk-xi-1-02-99.doc</t>
  </si>
  <si>
    <t>br#2</t>
  </si>
  <si>
    <t>br#115011</t>
  </si>
  <si>
    <t>br#115028</t>
  </si>
  <si>
    <t>5.1.9.1.4</t>
  </si>
  <si>
    <t>br#115061</t>
  </si>
  <si>
    <t>XIBICDIF.doc</t>
  </si>
  <si>
    <t>br#115090</t>
  </si>
  <si>
    <t>XIBICFUL.doc</t>
  </si>
  <si>
    <t>fexp</t>
  </si>
  <si>
    <t>br#202</t>
  </si>
  <si>
    <t>br#115095</t>
  </si>
  <si>
    <t>br#239</t>
  </si>
  <si>
    <t>br#115097</t>
  </si>
  <si>
    <t>br#115137</t>
  </si>
  <si>
    <t>CLXXV.cbl</t>
  </si>
  <si>
    <t>1.1.7.1.2.1.1</t>
  </si>
  <si>
    <t>FCLD08-01.cbl</t>
  </si>
  <si>
    <t>ICLD08-01.cbl</t>
  </si>
  <si>
    <t>cld08.def</t>
  </si>
  <si>
    <t>def</t>
  </si>
  <si>
    <t>dcg</t>
  </si>
  <si>
    <t>br#115145</t>
  </si>
  <si>
    <t>13</t>
  </si>
  <si>
    <t>br#313</t>
  </si>
  <si>
    <t>pk-xi-1-01.doc</t>
  </si>
  <si>
    <t>pk-xi-1-02-02.doc</t>
  </si>
  <si>
    <t>pk-xi-1.doc</t>
  </si>
  <si>
    <t>br#115165</t>
  </si>
  <si>
    <t>7</t>
  </si>
  <si>
    <t>BankingInstitutionService.java</t>
  </si>
  <si>
    <t>br#115377</t>
  </si>
  <si>
    <t>java</t>
  </si>
  <si>
    <t>BankingInstitutionServiceImpl.java</t>
  </si>
  <si>
    <t>bankinginstitution</t>
  </si>
  <si>
    <t>client</t>
  </si>
  <si>
    <t>br#3.1.3.1.2</t>
  </si>
  <si>
    <t>om#17</t>
  </si>
  <si>
    <t>impl</t>
  </si>
  <si>
    <t>br#982</t>
  </si>
  <si>
    <t>server</t>
  </si>
  <si>
    <t>br#8.1.3.1.2</t>
  </si>
  <si>
    <t>om#6</t>
  </si>
  <si>
    <t>service</t>
  </si>
  <si>
    <t>br#918</t>
  </si>
  <si>
    <t>br#919</t>
  </si>
  <si>
    <t>br#115396</t>
  </si>
  <si>
    <t>br#115436</t>
  </si>
  <si>
    <t>8</t>
  </si>
  <si>
    <t>BankInstitutionLegacyActionsBean.java</t>
  </si>
  <si>
    <t>br#115605</t>
  </si>
  <si>
    <t>BankInstitutionLegacySearchBean.java</t>
  </si>
  <si>
    <t>BankInstitutionLegacySelectBean.java</t>
  </si>
  <si>
    <t>BankInstitutionWRule.java</t>
  </si>
  <si>
    <t>bankinginstitutionservice</t>
  </si>
  <si>
    <t>br#3</t>
  </si>
  <si>
    <t>bean</t>
  </si>
  <si>
    <t>br#1383</t>
  </si>
  <si>
    <t>br#1384</t>
  </si>
  <si>
    <t>1.1.5.1.1</t>
  </si>
  <si>
    <t>br#204</t>
  </si>
  <si>
    <t>createBankInstitutionActions01.jsp</t>
  </si>
  <si>
    <t>jsp</t>
  </si>
  <si>
    <t>createBankInstitutionSelect01.jsp</t>
  </si>
  <si>
    <t>deleteBankInstitutionActions01.jsp</t>
  </si>
  <si>
    <t>deleteBankInstitutionSelect01.jsp</t>
  </si>
  <si>
    <t>listBankInstitutionSearch01.jsp</t>
  </si>
  <si>
    <t>listBankInstitutionSearch02.jsp</t>
  </si>
  <si>
    <t>pages</t>
  </si>
  <si>
    <t>1.1.7.1.1</t>
  </si>
  <si>
    <t>br#196</t>
  </si>
  <si>
    <t>retrieveBankInstitutionActions01.jsp</t>
  </si>
  <si>
    <t>retrieveBankInstitutionActions02.jsp</t>
  </si>
  <si>
    <t>retrieveBankInstitutionSelect01.jsp</t>
  </si>
  <si>
    <t>rule</t>
  </si>
  <si>
    <t>br#1261</t>
  </si>
  <si>
    <t>br#1262</t>
  </si>
  <si>
    <t>updateBankInstitutionActions01.jsp</t>
  </si>
  <si>
    <t>updateBankInstitutionSelect01.jsp</t>
  </si>
  <si>
    <t>web</t>
  </si>
  <si>
    <t>BankIdentifierCode.java</t>
  </si>
  <si>
    <t>br#115842</t>
  </si>
  <si>
    <t>br#5</t>
  </si>
  <si>
    <t>cw#1</t>
  </si>
  <si>
    <t>br#116005</t>
  </si>
  <si>
    <t>br#116008</t>
  </si>
  <si>
    <t>9</t>
  </si>
  <si>
    <t>CH-CLSEC.map</t>
  </si>
  <si>
    <t>br#116013</t>
  </si>
  <si>
    <t>script</t>
  </si>
  <si>
    <t>CLAE.map</t>
  </si>
  <si>
    <t>CLCE.map</t>
  </si>
  <si>
    <t>CLDE.map</t>
  </si>
  <si>
    <t>CLME.map</t>
  </si>
  <si>
    <t>CLSE.map</t>
  </si>
  <si>
    <t>map_cohab</t>
  </si>
  <si>
    <t>1.1.11.1.1</t>
  </si>
  <si>
    <t>br#103</t>
  </si>
  <si>
    <t>WEB-INF</t>
  </si>
  <si>
    <t>br#116023</t>
  </si>
  <si>
    <t>1.1.4.1.1</t>
  </si>
  <si>
    <t>br#199</t>
  </si>
  <si>
    <t>faces-BankingInstitutionService.xml</t>
  </si>
  <si>
    <t>xml</t>
  </si>
  <si>
    <t>web.xml</t>
  </si>
  <si>
    <t>br#116030</t>
  </si>
  <si>
    <t>1.2.1.1.2</t>
  </si>
  <si>
    <t>br#205</t>
  </si>
  <si>
    <t>br#116065</t>
  </si>
  <si>
    <t>map_file</t>
  </si>
  <si>
    <t>br#31.1.11</t>
  </si>
  <si>
    <t>cw#10</t>
  </si>
  <si>
    <t>br#116083</t>
  </si>
  <si>
    <t>br#116155</t>
  </si>
  <si>
    <t>br#116248</t>
  </si>
  <si>
    <t>10</t>
  </si>
  <si>
    <t>br#116338</t>
  </si>
  <si>
    <t>17.1.2</t>
  </si>
  <si>
    <t>5.1.9.1.5</t>
  </si>
  <si>
    <t>br#116343</t>
  </si>
  <si>
    <t>br#116350</t>
  </si>
  <si>
    <t>br#116388</t>
  </si>
  <si>
    <t>5.1.9.1.6</t>
  </si>
  <si>
    <t>br#116393</t>
  </si>
  <si>
    <t>br#116419</t>
  </si>
  <si>
    <t>br#116430</t>
  </si>
  <si>
    <t>br#116465</t>
  </si>
  <si>
    <t>CLT002.cbl</t>
  </si>
  <si>
    <t>br#116468</t>
  </si>
  <si>
    <t>br#116482</t>
  </si>
  <si>
    <t>11</t>
  </si>
  <si>
    <t>br#116496</t>
  </si>
  <si>
    <t>12</t>
  </si>
  <si>
    <t>br#116498</t>
  </si>
  <si>
    <t>br#116513</t>
  </si>
  <si>
    <t>br#116516</t>
  </si>
  <si>
    <t>br#116647</t>
  </si>
  <si>
    <t>br#116793</t>
  </si>
  <si>
    <t>br#117044</t>
  </si>
  <si>
    <t>br#117609</t>
  </si>
  <si>
    <t>br#117648</t>
  </si>
  <si>
    <t>br#117673</t>
  </si>
  <si>
    <t>14</t>
  </si>
  <si>
    <t>br#121023</t>
  </si>
  <si>
    <t>br#98835,br#156220</t>
  </si>
  <si>
    <t>THALER</t>
  </si>
  <si>
    <t>br#98835</t>
  </si>
  <si>
    <t>2.2.2.2.10.1.15.1.1.2.13.1.6</t>
  </si>
  <si>
    <t>createBankIdentifierActions01.jsp</t>
  </si>
  <si>
    <t>br#99287</t>
  </si>
  <si>
    <t>deleteBankIdentifierActions01.jsp</t>
  </si>
  <si>
    <t>retrieveBankIdentifierActions01.jsp</t>
  </si>
  <si>
    <t>updateBankIdentifierActions01.jsp</t>
  </si>
  <si>
    <t>CLAT.map</t>
  </si>
  <si>
    <t>br#99293</t>
  </si>
  <si>
    <t>CLCT.map</t>
  </si>
  <si>
    <t>CLDT.map</t>
  </si>
  <si>
    <t>CLMT.map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</si>
</sst>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9" applyNumberFormat="0" applyAlignment="0" applyProtection="0"/>
    <xf numFmtId="0" fontId="25" fillId="37" borderId="0" applyNumberFormat="0" applyBorder="0" applyAlignment="0" applyProtection="0"/>
  </cellStyleXfs>
  <cellXfs count="9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21" fillId="0" borderId="22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4" xfId="0" applyFill="1" applyBorder="1"/>
    <xf numFmtId="0" fontId="0" fillId="0" borderId="0" xfId="0"/>
    <xf numFmtId="0" fontId="0" fillId="0" borderId="25" xfId="0" applyFill="1" applyBorder="1"/>
    <xf numFmtId="0" fontId="3" fillId="0" borderId="1" xfId="2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9" xfId="44" applyNumberFormat="1" applyFont="1" applyAlignment="1" applyProtection="1"/>
    <xf numFmtId="0" fontId="24" fillId="36" borderId="30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9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31" xfId="44" applyNumberFormat="1" applyFont="1" applyBorder="1" applyAlignment="1" applyProtection="1"/>
    <xf numFmtId="0" fontId="24" fillId="36" borderId="29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4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5" xfId="0" applyNumberFormat="1" applyFont="1" applyFill="1" applyBorder="1" applyAlignment="1">
      <alignment horizontal="right" vertical="center"/>
    </xf>
    <xf numFmtId="0" fontId="28" fillId="39" borderId="36" xfId="0" applyFont="1" applyFill="1" applyBorder="1" applyAlignment="1">
      <alignment vertical="center"/>
    </xf>
    <xf numFmtId="0" fontId="29" fillId="39" borderId="36" xfId="0" applyFont="1" applyFill="1" applyBorder="1" applyAlignment="1">
      <alignment horizontal="center" vertical="center"/>
    </xf>
    <xf numFmtId="0" fontId="31" fillId="39" borderId="36" xfId="0" applyFont="1" applyFill="1" applyBorder="1" applyAlignment="1">
      <alignment horizontal="center" vertical="center"/>
    </xf>
    <xf numFmtId="14" fontId="16" fillId="39" borderId="35" xfId="0" applyNumberFormat="1" applyFont="1" applyFill="1" applyBorder="1" applyAlignment="1">
      <alignment horizontal="right" vertical="center"/>
    </xf>
    <xf numFmtId="0" fontId="16" fillId="39" borderId="36" xfId="0" applyFont="1" applyFill="1" applyBorder="1" applyAlignment="1">
      <alignment vertical="center"/>
    </xf>
    <xf numFmtId="0" fontId="29" fillId="39" borderId="38" xfId="0" applyFont="1" applyFill="1" applyBorder="1" applyAlignment="1">
      <alignment horizontal="center" vertical="center"/>
    </xf>
    <xf numFmtId="0" fontId="16" fillId="39" borderId="39" xfId="0" applyFont="1" applyFill="1" applyBorder="1" applyAlignment="1">
      <alignment vertical="center"/>
    </xf>
    <xf numFmtId="0" fontId="29" fillId="39" borderId="40" xfId="0" applyFont="1" applyFill="1" applyBorder="1" applyAlignment="1">
      <alignment horizontal="center" vertical="center"/>
    </xf>
    <xf numFmtId="0" fontId="29" fillId="39" borderId="41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17" fillId="25" borderId="26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27" xfId="13" applyBorder="1" applyAlignment="1">
      <alignment horizontal="center" vertical="center"/>
    </xf>
    <xf numFmtId="0" fontId="13" fillId="7" borderId="28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32" xfId="0" applyFont="1" applyFill="1" applyBorder="1" applyAlignment="1">
      <alignment horizontal="center" vertical="center"/>
    </xf>
    <xf numFmtId="0" fontId="26" fillId="38" borderId="33" xfId="0" applyFont="1" applyFill="1" applyBorder="1" applyAlignment="1">
      <alignment horizontal="center" vertical="center"/>
    </xf>
    <xf numFmtId="0" fontId="32" fillId="38" borderId="32" xfId="0" applyFont="1" applyFill="1" applyBorder="1" applyAlignment="1">
      <alignment horizontal="center" vertical="center"/>
    </xf>
    <xf numFmtId="0" fontId="32" fillId="38" borderId="33" xfId="0" applyFont="1" applyFill="1" applyBorder="1" applyAlignment="1">
      <alignment horizontal="center" vertical="center"/>
    </xf>
    <xf numFmtId="0" fontId="32" fillId="38" borderId="37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externalLinks/externalLink1.xml" Type="http://schemas.openxmlformats.org/officeDocument/2006/relationships/externalLink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24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23" width="7.5703125" collapsed="true"/>
    <col min="2" max="2" bestFit="true" customWidth="true" style="38" width="13.5703125" collapsed="true"/>
    <col min="3" max="3" bestFit="true" customWidth="true" style="23" width="72.5703125" collapsed="true"/>
    <col min="4" max="4" bestFit="true" customWidth="true" style="23" width="7.85546875" collapsed="true"/>
    <col min="5" max="5" bestFit="true" customWidth="true" style="23" width="7.140625" collapsed="true"/>
    <col min="6" max="6" bestFit="true" customWidth="true" style="23" width="16.42578125" collapsed="true"/>
    <col min="7" max="7" bestFit="true" customWidth="true" style="23" width="15.0" collapsed="true"/>
    <col min="8" max="8" bestFit="true" customWidth="true" style="23" width="5.7109375" collapsed="true"/>
    <col min="9" max="9" bestFit="true" customWidth="true" style="23" width="73.28515625" collapsed="true"/>
    <col min="10" max="10" bestFit="true" customWidth="true" style="23" width="100.28515625" collapsed="true"/>
    <col min="11" max="11" customWidth="true" style="23" width="58.85546875" collapsed="true"/>
    <col min="12" max="16384" style="23" width="9.140625" collapsed="true"/>
  </cols>
  <sheetData>
    <row r="1" spans="1:10" ht="3.75" customHeight="1" x14ac:dyDescent="0.25">
      <c r="A1" s="19"/>
      <c r="B1" s="37"/>
      <c r="C1" s="20"/>
      <c r="D1" s="20"/>
      <c r="E1" s="21"/>
      <c r="F1" s="22"/>
      <c r="G1" s="22"/>
      <c r="H1" s="22"/>
      <c r="I1" s="22"/>
      <c r="J1"/>
    </row>
    <row r="2" spans="1:10" ht="15" customHeight="1" x14ac:dyDescent="0.25">
      <c r="A2" s="83" t="s">
        <v>5</v>
      </c>
      <c r="B2" s="84"/>
      <c r="C2" s="26" t="s">
        <v>359</v>
      </c>
      <c r="D2" s="27"/>
      <c r="E2" s="25" t="s">
        <v>155</v>
      </c>
      <c r="F2" s="23" t="s">
        <v>360</v>
      </c>
      <c r="G2" s="25" t="s">
        <v>156</v>
      </c>
      <c r="H2" s="23" t="s">
        <v>361</v>
      </c>
      <c r="I2" s="28"/>
      <c r="J2"/>
    </row>
    <row r="3" spans="1:10" ht="3.75" customHeight="1" x14ac:dyDescent="0.25">
      <c r="A3" s="24"/>
      <c r="B3" s="39"/>
      <c r="C3" s="27"/>
      <c r="D3" s="27"/>
      <c r="E3" s="27"/>
      <c r="F3" s="27"/>
      <c r="G3" s="27"/>
      <c r="H3" s="27"/>
      <c r="I3" s="28"/>
      <c r="J3"/>
    </row>
    <row r="4" spans="1:10" ht="15" customHeight="1" x14ac:dyDescent="0.25">
      <c r="A4" s="83" t="s">
        <v>158</v>
      </c>
      <c r="B4" s="85"/>
      <c r="C4" s="44"/>
      <c r="D4" s="27"/>
      <c r="E4" s="25" t="s">
        <v>3</v>
      </c>
      <c r="F4" s="26" t="s">
        <v>187</v>
      </c>
      <c r="G4" s="25" t="s">
        <v>157</v>
      </c>
      <c r="H4" s="26" t="s">
        <v>72</v>
      </c>
      <c r="I4" s="28"/>
      <c r="J4"/>
    </row>
    <row r="5" spans="1:10" ht="3.75" customHeight="1" x14ac:dyDescent="0.25">
      <c r="A5" s="24"/>
      <c r="B5" s="39"/>
      <c r="C5" s="27"/>
      <c r="D5" s="27"/>
      <c r="E5" s="28"/>
      <c r="F5" s="27"/>
      <c r="G5" s="27"/>
      <c r="H5" s="27"/>
      <c r="I5" s="28"/>
      <c r="J5"/>
    </row>
    <row r="6" spans="1:10" ht="3.75" customHeight="1" x14ac:dyDescent="0.25">
      <c r="A6" s="24"/>
      <c r="B6" s="39"/>
      <c r="C6" s="27"/>
      <c r="D6" s="27"/>
      <c r="E6" s="27"/>
      <c r="F6" s="27"/>
      <c r="G6" s="27"/>
      <c r="H6" s="27"/>
      <c r="I6" s="28"/>
      <c r="J6"/>
    </row>
    <row r="7" spans="1:10" ht="15" customHeight="1" x14ac:dyDescent="0.25">
      <c r="A7" s="83" t="s">
        <v>181</v>
      </c>
      <c r="B7" s="84"/>
      <c r="C7" s="47"/>
      <c r="D7" s="27"/>
      <c r="E7" s="25" t="s">
        <v>159</v>
      </c>
      <c r="F7" s="29"/>
      <c r="G7" s="25" t="s">
        <v>160</v>
      </c>
      <c r="H7" s="44"/>
      <c r="I7" s="28"/>
      <c r="J7"/>
    </row>
    <row r="8" spans="1:10" ht="3.75" customHeight="1" x14ac:dyDescent="0.25">
      <c r="A8" s="24"/>
      <c r="B8" s="39"/>
      <c r="C8" s="27"/>
      <c r="D8" s="27"/>
      <c r="E8" s="25"/>
      <c r="F8" s="28"/>
      <c r="G8" s="28"/>
      <c r="H8" s="25"/>
      <c r="I8" s="28"/>
      <c r="J8"/>
    </row>
    <row r="9" spans="1:10" ht="15" customHeight="1" x14ac:dyDescent="0.25">
      <c r="A9" s="83" t="s">
        <v>161</v>
      </c>
      <c r="B9" s="84"/>
      <c r="C9" t="s">
        <v>358</v>
      </c>
      <c r="D9" s="27"/>
      <c r="E9" s="25" t="s">
        <v>197</v>
      </c>
      <c r="F9" s="29" t="s">
        <v>195</v>
      </c>
      <c r="G9" s="25" t="s">
        <v>196</v>
      </c>
      <c r="H9" s="29" t="s">
        <v>195</v>
      </c>
      <c r="I9" s="28"/>
      <c r="J9"/>
    </row>
    <row r="10" spans="1:10" ht="3.75" customHeight="1" x14ac:dyDescent="0.25">
      <c r="A10" s="24"/>
      <c r="B10" s="39"/>
      <c r="C10" s="27"/>
      <c r="D10" s="27"/>
      <c r="E10" s="28"/>
      <c r="F10" s="27"/>
      <c r="G10" s="27"/>
      <c r="H10" s="27"/>
      <c r="I10" s="27"/>
      <c r="J10"/>
    </row>
    <row r="11" spans="1:10" ht="15" customHeight="1" x14ac:dyDescent="0.25">
      <c r="A11" s="83" t="s">
        <v>182</v>
      </c>
      <c r="B11" s="84"/>
      <c r="C11" s="43"/>
      <c r="D11" s="30"/>
      <c r="E11" s="30"/>
      <c r="F11" s="30"/>
      <c r="G11" s="30"/>
      <c r="H11" s="30"/>
      <c r="I11" s="31"/>
      <c r="J11"/>
    </row>
    <row r="12" spans="1:10" ht="3.75" customHeight="1" thickBot="1" x14ac:dyDescent="0.3">
      <c r="A12" s="32"/>
      <c r="B12" s="40"/>
      <c r="C12" s="33"/>
      <c r="D12" s="33"/>
      <c r="E12" s="34"/>
      <c r="F12" s="34"/>
      <c r="G12" s="34"/>
      <c r="H12" s="34"/>
      <c r="I12" s="34"/>
      <c r="J12"/>
    </row>
    <row r="13" spans="1:10" ht="15.75" thickBot="1" x14ac:dyDescent="0.3">
      <c r="A13" s="82" t="str">
        <f>CONCATENATE("cd $SH/rmm_32",";","pk_RMM_execProc RMM.cfg RMM_upgradeEnv ",C9)</f>
        <v>cd $SH/rmm_32;pk_RMM_execProc RMM.cfg RMM_upgradeEnv PACK-XXX-XXXX</v>
      </c>
      <c r="B13" s="82"/>
      <c r="C13" s="82"/>
      <c r="D13" s="82"/>
      <c r="E13" s="82"/>
      <c r="F13" s="82"/>
      <c r="G13" s="82"/>
      <c r="H13" s="82"/>
      <c r="I13" s="82"/>
    </row>
    <row r="14" spans="1:10" ht="15" customHeight="1" thickTop="1" x14ac:dyDescent="0.25">
      <c r="A14" s="35" t="s">
        <v>3</v>
      </c>
      <c r="B14" s="52" t="s">
        <v>169</v>
      </c>
      <c r="C14" s="35" t="s">
        <v>6</v>
      </c>
      <c r="D14" s="52" t="s">
        <v>162</v>
      </c>
      <c r="E14" s="52" t="s">
        <v>163</v>
      </c>
      <c r="F14" s="86" t="s">
        <v>8</v>
      </c>
      <c r="G14" s="87"/>
      <c r="H14" s="87"/>
      <c r="I14" s="87"/>
    </row>
    <row r="15" spans="1:10" x14ac:dyDescent="0.25">
      <c r="A15" s="36" t="s">
        <v>0</v>
      </c>
      <c r="B15" s="41" t="s">
        <v>170</v>
      </c>
      <c r="C15" s="36" t="s">
        <v>164</v>
      </c>
      <c r="D15" s="45"/>
      <c r="E15" s="45"/>
      <c r="F15" s="88"/>
      <c r="G15" s="88"/>
      <c r="H15" s="88"/>
      <c r="I15" s="88"/>
    </row>
    <row r="16" spans="1:10" x14ac:dyDescent="0.25">
      <c r="A16" s="36" t="s">
        <v>187</v>
      </c>
      <c r="B16" s="41" t="s">
        <v>170</v>
      </c>
      <c r="C16" s="36" t="s">
        <v>166</v>
      </c>
      <c r="D16" s="45"/>
      <c r="E16" s="36"/>
      <c r="F16" s="88"/>
      <c r="G16" s="88"/>
      <c r="H16" s="88"/>
      <c r="I16" s="88"/>
    </row>
    <row r="17" spans="1:9" x14ac:dyDescent="0.25">
      <c r="A17" s="36" t="s">
        <v>187</v>
      </c>
      <c r="B17" s="41" t="s">
        <v>170</v>
      </c>
      <c r="C17" s="36" t="s">
        <v>165</v>
      </c>
      <c r="D17" s="45"/>
      <c r="E17" s="45"/>
      <c r="F17" s="88"/>
      <c r="G17" s="88"/>
      <c r="H17" s="88"/>
      <c r="I17" s="88"/>
    </row>
    <row r="18" spans="1:9" x14ac:dyDescent="0.25">
      <c r="A18" s="36" t="s">
        <v>187</v>
      </c>
      <c r="B18" s="36" t="s">
        <v>176</v>
      </c>
      <c r="C18" s="36" t="s">
        <v>167</v>
      </c>
      <c r="D18" s="45"/>
      <c r="E18" s="45"/>
      <c r="F18" s="88"/>
      <c r="G18" s="88"/>
      <c r="H18" s="88"/>
      <c r="I18" s="88"/>
    </row>
    <row r="19" spans="1:9" x14ac:dyDescent="0.25">
      <c r="A19" s="36" t="s">
        <v>187</v>
      </c>
      <c r="B19" s="41" t="s">
        <v>171</v>
      </c>
      <c r="C19" s="36" t="str">
        <f>CONCATENATE("Generate the transfer operations on ",F2)</f>
        <v>Generate the transfer operations on From here</v>
      </c>
      <c r="D19" s="45"/>
      <c r="E19" s="45"/>
      <c r="F19" s="88"/>
      <c r="G19" s="88"/>
      <c r="H19" s="88"/>
      <c r="I19" s="88"/>
    </row>
    <row r="20" spans="1:9" x14ac:dyDescent="0.25">
      <c r="A20" s="36" t="s">
        <v>187</v>
      </c>
      <c r="B20" s="41" t="s">
        <v>171</v>
      </c>
      <c r="C20" s="36" t="str">
        <f>CONCATENATE("Check the generated transfer operations for pack ",C11)</f>
        <v xml:space="preserve">Check the generated transfer operations for pack </v>
      </c>
      <c r="D20" s="45"/>
      <c r="E20" s="45"/>
      <c r="F20" s="88"/>
      <c r="G20" s="88"/>
      <c r="H20" s="88"/>
      <c r="I20" s="88"/>
    </row>
    <row r="21" spans="1:9" x14ac:dyDescent="0.25">
      <c r="A21" s="36" t="s">
        <v>187</v>
      </c>
      <c r="B21" s="41" t="s">
        <v>171</v>
      </c>
      <c r="C21" s="36" t="s">
        <v>178</v>
      </c>
      <c r="D21" s="45"/>
      <c r="E21" s="45"/>
      <c r="F21" s="88"/>
      <c r="G21" s="88"/>
      <c r="H21" s="88"/>
      <c r="I21" s="88"/>
    </row>
    <row r="22" spans="1:9" x14ac:dyDescent="0.25">
      <c r="A22" s="36" t="s">
        <v>187</v>
      </c>
      <c r="B22" s="41" t="s">
        <v>171</v>
      </c>
      <c r="C22" s="36" t="s">
        <v>177</v>
      </c>
      <c r="D22" s="45"/>
      <c r="E22" s="45"/>
      <c r="F22" s="88"/>
      <c r="G22" s="88"/>
      <c r="H22" s="88"/>
      <c r="I22" s="88"/>
    </row>
    <row r="23" spans="1:9" x14ac:dyDescent="0.25">
      <c r="A23" s="36" t="s">
        <v>187</v>
      </c>
      <c r="B23" s="41" t="s">
        <v>172</v>
      </c>
      <c r="C23" s="36" t="str">
        <f>CONCATENATE("Add the Synergy tasks to the manual folder of ",H2)</f>
        <v>Add the Synergy tasks to the manual folder of To here</v>
      </c>
      <c r="D23" s="45"/>
      <c r="E23" s="45"/>
      <c r="F23" s="88"/>
      <c r="G23" s="88"/>
      <c r="H23" s="88"/>
      <c r="I23" s="88"/>
    </row>
    <row r="24" spans="1:9" x14ac:dyDescent="0.25">
      <c r="A24" s="36" t="s">
        <v>187</v>
      </c>
      <c r="B24" s="41" t="s">
        <v>172</v>
      </c>
      <c r="C24" s="36" t="str">
        <f>CONCATENATE("Update the Synergy project THALER~",H2)</f>
        <v>Update the Synergy project THALER~To here</v>
      </c>
      <c r="D24" s="45"/>
      <c r="E24" s="45"/>
      <c r="F24" s="88"/>
      <c r="G24" s="88"/>
      <c r="H24" s="88"/>
      <c r="I24" s="88"/>
    </row>
    <row r="25" spans="1:9" x14ac:dyDescent="0.25">
      <c r="A25" s="36" t="s">
        <v>187</v>
      </c>
      <c r="B25" s="41" t="s">
        <v>172</v>
      </c>
      <c r="C25" s="36" t="str">
        <f>CONCATENATE("Detect the conflicts of the Synergy project THALER~",H2)</f>
        <v>Detect the conflicts of the Synergy project THALER~To here</v>
      </c>
      <c r="D25" s="45"/>
      <c r="E25" s="45"/>
      <c r="F25" s="88"/>
      <c r="G25" s="88"/>
      <c r="H25" s="88"/>
      <c r="I25" s="88"/>
    </row>
    <row r="26" spans="1:9" x14ac:dyDescent="0.25">
      <c r="A26" s="36" t="s">
        <v>187</v>
      </c>
      <c r="B26" s="41" t="s">
        <v>172</v>
      </c>
      <c r="C26" s="36" t="str">
        <f>CONCATENATE(" Synchronize the Synergy work area of the project THALER~",H2)</f>
        <v xml:space="preserve"> Synchronize the Synergy work area of the project THALER~To here</v>
      </c>
      <c r="D26" s="45"/>
      <c r="E26" s="45"/>
      <c r="F26" s="88"/>
      <c r="G26" s="88"/>
      <c r="H26" s="88"/>
      <c r="I26" s="88"/>
    </row>
    <row r="27" spans="1:9" x14ac:dyDescent="0.25">
      <c r="A27" s="36" t="s">
        <v>187</v>
      </c>
      <c r="B27" s="41" t="s">
        <v>173</v>
      </c>
      <c r="C27" s="36" t="s">
        <v>179</v>
      </c>
      <c r="D27" s="45"/>
      <c r="E27" s="45"/>
      <c r="F27" s="88"/>
      <c r="G27" s="88"/>
      <c r="H27" s="88"/>
      <c r="I27" s="88"/>
    </row>
    <row r="28" spans="1:9" x14ac:dyDescent="0.25">
      <c r="A28" s="36" t="s">
        <v>187</v>
      </c>
      <c r="B28" s="41" t="s">
        <v>174</v>
      </c>
      <c r="C28" s="36" t="s">
        <v>180</v>
      </c>
      <c r="D28" s="45"/>
      <c r="E28" s="45"/>
      <c r="F28" s="88"/>
      <c r="G28" s="88"/>
      <c r="H28" s="88"/>
      <c r="I28" s="88"/>
    </row>
    <row r="29" spans="1:9" x14ac:dyDescent="0.25">
      <c r="A29" s="36" t="s">
        <v>187</v>
      </c>
      <c r="B29" s="41" t="s">
        <v>174</v>
      </c>
      <c r="C29" s="36" t="str">
        <f>CONCATENATE("Execute the 'P' transfers of the TOS ",C11," on the master BES")</f>
        <v>Execute the 'P' transfers of the TOS  on the master BES</v>
      </c>
      <c r="D29" s="45"/>
      <c r="E29" s="45"/>
      <c r="F29" s="88"/>
      <c r="G29" s="88"/>
      <c r="H29" s="88"/>
      <c r="I29" s="88"/>
    </row>
    <row r="30" spans="1:9" x14ac:dyDescent="0.25">
      <c r="A30" s="36" t="s">
        <v>187</v>
      </c>
      <c r="B30" s="41" t="s">
        <v>174</v>
      </c>
      <c r="C30" s="36" t="str">
        <f>CONCATENATE("Detect membership conflicts of the TOS '",C9,"' using the Flattening")</f>
        <v>Detect membership conflicts of the TOS 'PACK-XXX-XXXX' using the Flattening</v>
      </c>
      <c r="D30" s="45"/>
      <c r="E30" s="45"/>
      <c r="F30" s="88"/>
      <c r="G30" s="88"/>
      <c r="H30" s="88"/>
      <c r="I30" s="88"/>
    </row>
    <row r="31" spans="1:9" x14ac:dyDescent="0.25">
      <c r="A31" s="36" t="s">
        <v>187</v>
      </c>
      <c r="B31" s="41" t="s">
        <v>172</v>
      </c>
      <c r="C31" s="36" t="str">
        <f>CONCATENATE("Deploy the Synergy tasks on project THALER~",H2)</f>
        <v>Deploy the Synergy tasks on project THALER~To here</v>
      </c>
      <c r="D31" s="45"/>
      <c r="E31" s="45"/>
      <c r="F31" s="88"/>
      <c r="G31" s="88"/>
      <c r="H31" s="88"/>
      <c r="I31" s="88"/>
    </row>
    <row r="32" spans="1:9" ht="21" customHeight="1" x14ac:dyDescent="0.25">
      <c r="A32" s="36" t="s">
        <v>187</v>
      </c>
      <c r="B32" s="41" t="s">
        <v>173</v>
      </c>
      <c r="C32" s="36" t="str">
        <f>CONCATENATE("Compare all templates before their deployment into the projects of ",H2)</f>
        <v>Compare all templates before their deployment into the projects of To here</v>
      </c>
      <c r="D32" s="45"/>
      <c r="E32" s="45"/>
      <c r="F32" s="88"/>
      <c r="G32" s="88"/>
      <c r="H32" s="88"/>
      <c r="I32" s="88"/>
    </row>
    <row r="33" spans="1:9" x14ac:dyDescent="0.25">
      <c r="A33" s="36" t="s">
        <v>187</v>
      </c>
      <c r="B33" s="41" t="s">
        <v>173</v>
      </c>
      <c r="C33" s="36" t="str">
        <f>CONCATENATE("Deploy the configuration files into the projects of ",H2)</f>
        <v>Deploy the configuration files into the projects of To here</v>
      </c>
      <c r="D33" s="45"/>
      <c r="E33" s="45"/>
      <c r="F33" s="88"/>
      <c r="G33" s="88"/>
      <c r="H33" s="88"/>
      <c r="I33" s="88"/>
    </row>
    <row r="34" spans="1:9" x14ac:dyDescent="0.25">
      <c r="A34" s="36" t="s">
        <v>187</v>
      </c>
      <c r="B34" s="41" t="s">
        <v>174</v>
      </c>
      <c r="C34" s="36" t="str">
        <f>CONCATENATE("Execute the 'P/D' orders of the TOS '",C9,"' on the master BES")</f>
        <v>Execute the 'P/D' orders of the TOS 'PACK-XXX-XXXX' on the master BES</v>
      </c>
      <c r="D34" s="45"/>
      <c r="E34" s="45"/>
      <c r="F34" s="88"/>
      <c r="G34" s="88"/>
      <c r="H34" s="88"/>
      <c r="I34" s="88"/>
    </row>
    <row r="35" spans="1:9" x14ac:dyDescent="0.25">
      <c r="A35" s="36" t="s">
        <v>187</v>
      </c>
      <c r="B35" s="41" t="s">
        <v>174</v>
      </c>
      <c r="C35" s="36" t="str">
        <f>CONCATENATE("Execute the 'H' orders of the TOS '",C9,"' on the master BES")</f>
        <v>Execute the 'H' orders of the TOS 'PACK-XXX-XXXX' on the master BES</v>
      </c>
      <c r="D35" s="45"/>
      <c r="E35" s="45"/>
      <c r="F35" s="88"/>
      <c r="G35" s="88"/>
      <c r="H35" s="88"/>
      <c r="I35" s="88"/>
    </row>
    <row r="36" spans="1:9" x14ac:dyDescent="0.25">
      <c r="A36" s="36" t="s">
        <v>187</v>
      </c>
      <c r="B36" s="41" t="s">
        <v>174</v>
      </c>
      <c r="C36" s="36" t="str">
        <f>CONCATENATE("Execute the 'U/B' orders of the TOS '",C9,"' on the master BES")</f>
        <v>Execute the 'U/B' orders of the TOS 'PACK-XXX-XXXX' on the master BES</v>
      </c>
      <c r="D36" s="45"/>
      <c r="E36" s="45"/>
      <c r="F36" s="88"/>
      <c r="G36" s="88"/>
      <c r="H36" s="88"/>
      <c r="I36" s="88"/>
    </row>
    <row r="37" spans="1:9" x14ac:dyDescent="0.25">
      <c r="A37" s="36" t="s">
        <v>187</v>
      </c>
      <c r="B37" s="41" t="s">
        <v>174</v>
      </c>
      <c r="C37" s="36" t="str">
        <f>CONCATENATE("Execute the 'T/O' orders of the TOS '",C9,"' on the master BES")</f>
        <v>Execute the 'T/O' orders of the TOS 'PACK-XXX-XXXX' on the master BES</v>
      </c>
      <c r="D37" s="45"/>
      <c r="E37" s="45"/>
      <c r="F37" s="88"/>
      <c r="G37" s="88"/>
      <c r="H37" s="88"/>
      <c r="I37" s="88"/>
    </row>
    <row r="38" spans="1:9" x14ac:dyDescent="0.25">
      <c r="A38" s="36" t="s">
        <v>187</v>
      </c>
      <c r="B38" s="41" t="s">
        <v>174</v>
      </c>
      <c r="C38" s="36" t="str">
        <f>CONCATENATE("Execute the 'A' orders of the TOS '",C9,"' on the master BES")</f>
        <v>Execute the 'A' orders of the TOS 'PACK-XXX-XXXX' on the master BES</v>
      </c>
      <c r="D38" s="45"/>
      <c r="E38" s="45"/>
      <c r="F38" s="88"/>
      <c r="G38" s="88"/>
      <c r="H38" s="88"/>
      <c r="I38" s="88"/>
    </row>
    <row r="39" spans="1:9" x14ac:dyDescent="0.25">
      <c r="A39" s="36" t="s">
        <v>187</v>
      </c>
      <c r="B39" s="41" t="s">
        <v>173</v>
      </c>
      <c r="C39" s="36" t="s">
        <v>183</v>
      </c>
      <c r="D39" s="45"/>
      <c r="E39" s="45"/>
      <c r="F39" s="88"/>
      <c r="G39" s="88"/>
      <c r="H39" s="88"/>
      <c r="I39" s="88"/>
    </row>
    <row r="40" spans="1:9" x14ac:dyDescent="0.25">
      <c r="A40" s="36" t="s">
        <v>187</v>
      </c>
      <c r="B40" s="41" t="s">
        <v>175</v>
      </c>
      <c r="C40" s="36" t="str">
        <f>CONCATENATE("Build the V2 environment of ",H2)</f>
        <v>Build the V2 environment of To here</v>
      </c>
      <c r="D40" s="45"/>
      <c r="E40" s="45"/>
      <c r="F40" s="88"/>
      <c r="G40" s="88"/>
      <c r="H40" s="88"/>
      <c r="I40" s="88"/>
    </row>
    <row r="41" spans="1:9" x14ac:dyDescent="0.25">
      <c r="A41" s="36" t="s">
        <v>187</v>
      </c>
      <c r="B41" s="41" t="s">
        <v>174</v>
      </c>
      <c r="C41" s="36" t="str">
        <f>CONCATENATE("Execute the 'C' orders of the TOS '",C9,"' on the master BES")</f>
        <v>Execute the 'C' orders of the TOS 'PACK-XXX-XXXX' on the master BES</v>
      </c>
      <c r="D41" s="45"/>
      <c r="E41" s="45"/>
      <c r="F41" s="88"/>
      <c r="G41" s="88"/>
      <c r="H41" s="88"/>
      <c r="I41" s="88"/>
    </row>
    <row r="42" spans="1:9" x14ac:dyDescent="0.25">
      <c r="A42" s="36" t="s">
        <v>187</v>
      </c>
      <c r="B42" s="41" t="s">
        <v>173</v>
      </c>
      <c r="C42" s="36" t="s">
        <v>184</v>
      </c>
      <c r="D42" s="45"/>
      <c r="E42" s="45"/>
      <c r="F42" s="88"/>
      <c r="G42" s="88"/>
      <c r="H42" s="88"/>
      <c r="I42" s="88"/>
    </row>
    <row r="43" spans="1:9" x14ac:dyDescent="0.25">
      <c r="A43" s="36" t="s">
        <v>187</v>
      </c>
      <c r="B43" s="41" t="s">
        <v>176</v>
      </c>
      <c r="C43" s="36" t="s">
        <v>168</v>
      </c>
      <c r="D43" s="45"/>
      <c r="E43" s="45"/>
      <c r="F43" s="88"/>
      <c r="G43" s="88"/>
      <c r="H43" s="88"/>
      <c r="I43" s="88"/>
    </row>
    <row r="44" spans="1:9" x14ac:dyDescent="0.25">
      <c r="A44" s="36" t="s">
        <v>187</v>
      </c>
      <c r="B44" s="41" t="s">
        <v>176</v>
      </c>
      <c r="C44" s="36" t="s">
        <v>167</v>
      </c>
      <c r="D44" s="45"/>
      <c r="E44" s="45"/>
      <c r="F44" s="88"/>
      <c r="G44" s="88"/>
      <c r="H44" s="88"/>
      <c r="I44" s="88"/>
    </row>
    <row r="45" spans="1:9" x14ac:dyDescent="0.25">
      <c r="G45" s="42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opLeftCell="B13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customWidth="true" width="15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325</v>
      </c>
      <c r="G1" t="s">
        <v>335</v>
      </c>
    </row>
    <row r="2" spans="1:10" ht="15.75" thickBot="1" x14ac:dyDescent="0.3">
      <c r="A2" s="89" t="s">
        <v>302</v>
      </c>
      <c r="B2" s="90"/>
      <c r="C2" s="90"/>
      <c r="D2" s="91"/>
      <c r="G2" s="92" t="s">
        <v>326</v>
      </c>
      <c r="H2" s="93"/>
      <c r="I2" s="93"/>
      <c r="J2" s="93"/>
    </row>
    <row r="3" spans="1:10" ht="15.75" thickBot="1" x14ac:dyDescent="0.3">
      <c r="A3" s="61" t="s">
        <v>303</v>
      </c>
      <c r="B3" s="61" t="s">
        <v>57</v>
      </c>
      <c r="C3" s="61" t="s">
        <v>304</v>
      </c>
      <c r="D3" s="61" t="s">
        <v>305</v>
      </c>
      <c r="G3" s="67" t="s">
        <v>303</v>
      </c>
      <c r="H3" s="68" t="s">
        <v>57</v>
      </c>
      <c r="I3" s="68" t="s">
        <v>327</v>
      </c>
      <c r="J3" s="68" t="s">
        <v>328</v>
      </c>
    </row>
    <row r="4" spans="1:10" ht="15.75" thickBot="1" x14ac:dyDescent="0.3">
      <c r="A4" s="62">
        <v>42433</v>
      </c>
      <c r="B4" s="63" t="s">
        <v>306</v>
      </c>
      <c r="C4" s="63" t="s">
        <v>307</v>
      </c>
      <c r="D4" s="64" t="s">
        <v>308</v>
      </c>
      <c r="G4" s="69">
        <v>42290</v>
      </c>
      <c r="H4" s="70" t="s">
        <v>306</v>
      </c>
      <c r="I4" s="70" t="s">
        <v>307</v>
      </c>
      <c r="J4" s="71" t="s">
        <v>308</v>
      </c>
    </row>
    <row r="5" spans="1:10" ht="15.75" thickBot="1" x14ac:dyDescent="0.3">
      <c r="A5" s="62">
        <v>42433</v>
      </c>
      <c r="B5" s="63" t="s">
        <v>309</v>
      </c>
      <c r="C5" s="63" t="s">
        <v>310</v>
      </c>
      <c r="D5" s="64" t="s">
        <v>308</v>
      </c>
      <c r="G5" s="69">
        <v>42290</v>
      </c>
      <c r="H5" s="70" t="s">
        <v>329</v>
      </c>
      <c r="I5" s="70" t="s">
        <v>310</v>
      </c>
      <c r="J5" s="72" t="s">
        <v>330</v>
      </c>
    </row>
    <row r="6" spans="1:10" ht="15.75" thickBot="1" x14ac:dyDescent="0.3">
      <c r="A6" s="62">
        <v>42433</v>
      </c>
      <c r="B6" s="63" t="s">
        <v>311</v>
      </c>
      <c r="C6" s="63" t="s">
        <v>310</v>
      </c>
      <c r="D6" s="64" t="s">
        <v>308</v>
      </c>
      <c r="G6" s="69">
        <v>42290</v>
      </c>
      <c r="H6" s="70" t="s">
        <v>311</v>
      </c>
      <c r="I6" s="70" t="s">
        <v>310</v>
      </c>
      <c r="J6" s="72" t="s">
        <v>330</v>
      </c>
    </row>
    <row r="7" spans="1:10" ht="15.75" thickBot="1" x14ac:dyDescent="0.3">
      <c r="A7" s="62">
        <v>42433</v>
      </c>
      <c r="B7" s="63" t="s">
        <v>312</v>
      </c>
      <c r="C7" s="63" t="s">
        <v>310</v>
      </c>
      <c r="D7" s="64" t="s">
        <v>308</v>
      </c>
      <c r="G7" s="69">
        <v>42290</v>
      </c>
      <c r="H7" s="70" t="s">
        <v>312</v>
      </c>
      <c r="I7" s="70" t="s">
        <v>310</v>
      </c>
      <c r="J7" s="72" t="s">
        <v>330</v>
      </c>
    </row>
    <row r="8" spans="1:10" ht="15.75" thickBot="1" x14ac:dyDescent="0.3">
      <c r="A8" s="62">
        <v>42433</v>
      </c>
      <c r="B8" s="63" t="s">
        <v>313</v>
      </c>
      <c r="C8" s="63" t="s">
        <v>310</v>
      </c>
      <c r="D8" s="64" t="s">
        <v>308</v>
      </c>
      <c r="G8" s="69">
        <v>42290</v>
      </c>
      <c r="H8" s="70" t="s">
        <v>331</v>
      </c>
      <c r="I8" s="70" t="s">
        <v>310</v>
      </c>
      <c r="J8" s="72" t="s">
        <v>330</v>
      </c>
    </row>
    <row r="9" spans="1:10" ht="15.75" thickBot="1" x14ac:dyDescent="0.3">
      <c r="A9" s="62">
        <v>42433</v>
      </c>
      <c r="B9" s="63" t="s">
        <v>314</v>
      </c>
      <c r="C9" s="63" t="s">
        <v>310</v>
      </c>
      <c r="D9" s="64" t="s">
        <v>308</v>
      </c>
      <c r="G9" s="69">
        <v>42291</v>
      </c>
      <c r="H9" s="70" t="s">
        <v>318</v>
      </c>
      <c r="I9" s="70" t="s">
        <v>310</v>
      </c>
      <c r="J9" s="72" t="s">
        <v>330</v>
      </c>
    </row>
    <row r="10" spans="1:10" ht="15.75" thickBot="1" x14ac:dyDescent="0.3">
      <c r="A10" s="62">
        <v>42433</v>
      </c>
      <c r="B10" s="63" t="s">
        <v>315</v>
      </c>
      <c r="C10" s="63" t="s">
        <v>310</v>
      </c>
      <c r="D10" s="64" t="s">
        <v>308</v>
      </c>
      <c r="G10" s="69">
        <v>42291</v>
      </c>
      <c r="H10" s="70" t="s">
        <v>320</v>
      </c>
      <c r="I10" s="70" t="s">
        <v>310</v>
      </c>
      <c r="J10" s="72" t="s">
        <v>330</v>
      </c>
    </row>
    <row r="11" spans="1:10" ht="15.75" thickBot="1" x14ac:dyDescent="0.3">
      <c r="A11" s="65">
        <v>42436</v>
      </c>
      <c r="B11" s="66" t="s">
        <v>316</v>
      </c>
      <c r="C11" s="66" t="s">
        <v>310</v>
      </c>
      <c r="D11" s="64" t="s">
        <v>308</v>
      </c>
      <c r="G11" s="69">
        <v>42291</v>
      </c>
      <c r="H11" s="70" t="s">
        <v>321</v>
      </c>
      <c r="I11" s="70" t="s">
        <v>310</v>
      </c>
      <c r="J11" s="72" t="s">
        <v>330</v>
      </c>
    </row>
    <row r="12" spans="1:10" ht="15.75" thickBot="1" x14ac:dyDescent="0.3">
      <c r="A12" s="65">
        <v>42436</v>
      </c>
      <c r="B12" s="66" t="s">
        <v>317</v>
      </c>
      <c r="C12" s="66" t="s">
        <v>310</v>
      </c>
      <c r="D12" s="64" t="s">
        <v>308</v>
      </c>
      <c r="G12" s="69">
        <v>42291</v>
      </c>
      <c r="H12" s="70" t="s">
        <v>322</v>
      </c>
      <c r="I12" s="70" t="s">
        <v>310</v>
      </c>
      <c r="J12" s="72" t="s">
        <v>330</v>
      </c>
    </row>
    <row r="13" spans="1:10" ht="15.75" thickBot="1" x14ac:dyDescent="0.3">
      <c r="A13" s="65">
        <v>42436</v>
      </c>
      <c r="B13" s="66" t="s">
        <v>318</v>
      </c>
      <c r="C13" s="66" t="s">
        <v>310</v>
      </c>
      <c r="D13" s="64" t="s">
        <v>308</v>
      </c>
      <c r="G13" s="69">
        <v>42291</v>
      </c>
      <c r="H13" s="70" t="s">
        <v>332</v>
      </c>
      <c r="I13" s="70" t="s">
        <v>310</v>
      </c>
      <c r="J13" s="72" t="s">
        <v>330</v>
      </c>
    </row>
    <row r="14" spans="1:10" ht="15.75" thickBot="1" x14ac:dyDescent="0.3">
      <c r="A14" s="65">
        <v>42436</v>
      </c>
      <c r="B14" s="66" t="s">
        <v>319</v>
      </c>
      <c r="C14" s="66" t="s">
        <v>310</v>
      </c>
      <c r="D14" s="64" t="s">
        <v>308</v>
      </c>
      <c r="G14" s="69">
        <v>42291</v>
      </c>
      <c r="H14" s="70" t="s">
        <v>333</v>
      </c>
      <c r="I14" s="70" t="s">
        <v>334</v>
      </c>
      <c r="J14" s="72" t="s">
        <v>330</v>
      </c>
    </row>
    <row r="15" spans="1:10" ht="15.75" thickBot="1" x14ac:dyDescent="0.3">
      <c r="A15" s="65">
        <v>42436</v>
      </c>
      <c r="B15" s="66" t="s">
        <v>320</v>
      </c>
      <c r="C15" s="66" t="s">
        <v>310</v>
      </c>
      <c r="D15" s="64" t="s">
        <v>308</v>
      </c>
      <c r="G15" s="69">
        <v>42291</v>
      </c>
      <c r="H15" s="70" t="s">
        <v>324</v>
      </c>
      <c r="I15" s="70" t="s">
        <v>310</v>
      </c>
      <c r="J15" s="72" t="s">
        <v>330</v>
      </c>
    </row>
    <row r="16" spans="1:10" x14ac:dyDescent="0.25">
      <c r="A16" s="65">
        <v>42436</v>
      </c>
      <c r="B16" s="66" t="s">
        <v>321</v>
      </c>
      <c r="C16" s="66" t="s">
        <v>310</v>
      </c>
      <c r="D16" s="64" t="s">
        <v>308</v>
      </c>
    </row>
    <row r="17" spans="1:18" x14ac:dyDescent="0.25">
      <c r="A17" s="65">
        <v>42436</v>
      </c>
      <c r="B17" s="66" t="s">
        <v>322</v>
      </c>
      <c r="C17" s="66" t="s">
        <v>310</v>
      </c>
      <c r="D17" s="64" t="s">
        <v>308</v>
      </c>
    </row>
    <row r="18" spans="1:18" x14ac:dyDescent="0.25">
      <c r="A18" s="65">
        <v>42436</v>
      </c>
      <c r="B18" s="66" t="s">
        <v>323</v>
      </c>
      <c r="C18" s="66" t="s">
        <v>310</v>
      </c>
      <c r="D18" s="64" t="s">
        <v>308</v>
      </c>
    </row>
    <row r="19" spans="1:18" ht="15.75" thickBot="1" x14ac:dyDescent="0.3">
      <c r="A19" s="65">
        <v>42436</v>
      </c>
      <c r="B19" s="66" t="s">
        <v>324</v>
      </c>
      <c r="C19" s="66" t="s">
        <v>310</v>
      </c>
      <c r="D19" s="64" t="s">
        <v>308</v>
      </c>
    </row>
    <row r="20" spans="1:18" ht="15.75" thickBot="1" x14ac:dyDescent="0.3">
      <c r="G20" s="94" t="s">
        <v>336</v>
      </c>
      <c r="H20" s="95"/>
      <c r="I20" s="95"/>
      <c r="J20" s="95"/>
      <c r="K20" s="95"/>
      <c r="L20" s="96"/>
      <c r="O20" s="61" t="s">
        <v>303</v>
      </c>
      <c r="P20" s="61" t="s">
        <v>347</v>
      </c>
      <c r="Q20" s="61" t="s">
        <v>327</v>
      </c>
      <c r="R20" s="61" t="s">
        <v>348</v>
      </c>
    </row>
    <row r="21" spans="1:18" ht="15.75" thickBot="1" x14ac:dyDescent="0.3">
      <c r="A21" t="s">
        <v>346</v>
      </c>
      <c r="G21" s="67" t="s">
        <v>303</v>
      </c>
      <c r="H21" s="68" t="s">
        <v>57</v>
      </c>
      <c r="I21" s="68" t="s">
        <v>327</v>
      </c>
      <c r="J21" s="68" t="s">
        <v>337</v>
      </c>
      <c r="K21" s="68" t="s">
        <v>338</v>
      </c>
      <c r="L21" s="68" t="s">
        <v>339</v>
      </c>
      <c r="O21" s="62">
        <v>42445</v>
      </c>
      <c r="P21" s="63" t="s">
        <v>306</v>
      </c>
      <c r="Q21" s="63" t="s">
        <v>307</v>
      </c>
      <c r="R21" s="64" t="s">
        <v>308</v>
      </c>
    </row>
    <row r="22" spans="1:18" ht="15.75" thickBot="1" x14ac:dyDescent="0.3">
      <c r="A22" s="94" t="s">
        <v>340</v>
      </c>
      <c r="B22" s="95"/>
      <c r="C22" s="95"/>
      <c r="D22" s="95"/>
      <c r="G22" s="73">
        <v>42187</v>
      </c>
      <c r="H22" s="74" t="s">
        <v>306</v>
      </c>
      <c r="I22" s="74" t="s">
        <v>307</v>
      </c>
      <c r="J22" s="71" t="s">
        <v>308</v>
      </c>
      <c r="K22" s="71" t="s">
        <v>308</v>
      </c>
      <c r="L22" s="71" t="s">
        <v>308</v>
      </c>
      <c r="O22" s="62">
        <v>42445</v>
      </c>
      <c r="P22" s="63" t="s">
        <v>349</v>
      </c>
      <c r="Q22" s="63" t="s">
        <v>310</v>
      </c>
      <c r="R22" s="72" t="s">
        <v>330</v>
      </c>
    </row>
    <row r="23" spans="1:18" ht="15.75" thickBot="1" x14ac:dyDescent="0.3">
      <c r="A23" s="67" t="s">
        <v>303</v>
      </c>
      <c r="B23" s="68" t="s">
        <v>57</v>
      </c>
      <c r="C23" s="68" t="s">
        <v>327</v>
      </c>
      <c r="D23" s="68" t="s">
        <v>341</v>
      </c>
      <c r="G23" s="73">
        <v>42146</v>
      </c>
      <c r="H23" s="74" t="s">
        <v>329</v>
      </c>
      <c r="I23" s="74" t="s">
        <v>310</v>
      </c>
      <c r="J23" s="72" t="s">
        <v>330</v>
      </c>
      <c r="K23" s="72" t="s">
        <v>330</v>
      </c>
      <c r="L23" s="72" t="s">
        <v>330</v>
      </c>
      <c r="O23" s="62">
        <v>42445</v>
      </c>
      <c r="P23" s="63" t="s">
        <v>313</v>
      </c>
      <c r="Q23" s="63" t="s">
        <v>310</v>
      </c>
      <c r="R23" s="72" t="s">
        <v>330</v>
      </c>
    </row>
    <row r="24" spans="1:18" ht="15.75" thickBot="1" x14ac:dyDescent="0.3">
      <c r="A24" s="73">
        <v>42423</v>
      </c>
      <c r="B24" s="74" t="s">
        <v>306</v>
      </c>
      <c r="C24" s="74" t="s">
        <v>307</v>
      </c>
      <c r="D24" s="71" t="s">
        <v>308</v>
      </c>
      <c r="G24" s="73">
        <v>42146</v>
      </c>
      <c r="H24" s="74" t="s">
        <v>311</v>
      </c>
      <c r="I24" s="74" t="s">
        <v>310</v>
      </c>
      <c r="J24" s="72" t="s">
        <v>330</v>
      </c>
      <c r="K24" s="72" t="s">
        <v>330</v>
      </c>
      <c r="L24" s="72" t="s">
        <v>330</v>
      </c>
      <c r="O24" s="62">
        <v>42445</v>
      </c>
      <c r="P24" s="63" t="s">
        <v>350</v>
      </c>
      <c r="Q24" s="63" t="s">
        <v>310</v>
      </c>
      <c r="R24" s="72" t="s">
        <v>330</v>
      </c>
    </row>
    <row r="25" spans="1:18" ht="15.75" thickBot="1" x14ac:dyDescent="0.3">
      <c r="A25" s="73">
        <v>42423</v>
      </c>
      <c r="B25" s="74" t="s">
        <v>329</v>
      </c>
      <c r="C25" s="74" t="s">
        <v>310</v>
      </c>
      <c r="D25" s="71" t="s">
        <v>308</v>
      </c>
      <c r="G25" s="73">
        <v>42146</v>
      </c>
      <c r="H25" s="74" t="s">
        <v>312</v>
      </c>
      <c r="I25" s="74" t="s">
        <v>310</v>
      </c>
      <c r="J25" s="72" t="s">
        <v>330</v>
      </c>
      <c r="K25" s="72" t="s">
        <v>330</v>
      </c>
      <c r="L25" s="72" t="s">
        <v>330</v>
      </c>
      <c r="O25" s="62">
        <v>42445</v>
      </c>
      <c r="P25" s="63" t="s">
        <v>314</v>
      </c>
      <c r="Q25" s="63" t="s">
        <v>310</v>
      </c>
      <c r="R25" s="72" t="s">
        <v>330</v>
      </c>
    </row>
    <row r="26" spans="1:18" ht="15.75" thickBot="1" x14ac:dyDescent="0.3">
      <c r="A26" s="73">
        <v>42423</v>
      </c>
      <c r="B26" s="74" t="s">
        <v>311</v>
      </c>
      <c r="C26" s="74" t="s">
        <v>310</v>
      </c>
      <c r="D26" s="71" t="s">
        <v>308</v>
      </c>
      <c r="G26" s="73">
        <v>42146</v>
      </c>
      <c r="H26" s="74" t="s">
        <v>331</v>
      </c>
      <c r="I26" s="74" t="s">
        <v>310</v>
      </c>
      <c r="J26" s="72" t="s">
        <v>330</v>
      </c>
      <c r="K26" s="72" t="s">
        <v>330</v>
      </c>
      <c r="L26" s="72" t="s">
        <v>330</v>
      </c>
      <c r="O26" s="62">
        <v>42445</v>
      </c>
      <c r="P26" s="63" t="s">
        <v>315</v>
      </c>
      <c r="Q26" s="63" t="s">
        <v>310</v>
      </c>
      <c r="R26" s="72" t="s">
        <v>330</v>
      </c>
    </row>
    <row r="27" spans="1:18" ht="15.75" thickBot="1" x14ac:dyDescent="0.3">
      <c r="A27" s="73">
        <v>42423</v>
      </c>
      <c r="B27" s="74" t="s">
        <v>312</v>
      </c>
      <c r="C27" s="74" t="s">
        <v>310</v>
      </c>
      <c r="D27" s="71" t="s">
        <v>308</v>
      </c>
      <c r="G27" s="73">
        <v>42146</v>
      </c>
      <c r="H27" s="74" t="s">
        <v>318</v>
      </c>
      <c r="I27" s="74" t="s">
        <v>310</v>
      </c>
      <c r="J27" s="72" t="s">
        <v>330</v>
      </c>
      <c r="K27" s="72" t="s">
        <v>330</v>
      </c>
      <c r="L27" s="72" t="s">
        <v>330</v>
      </c>
      <c r="O27" s="62">
        <v>42445</v>
      </c>
      <c r="P27" s="63" t="s">
        <v>316</v>
      </c>
      <c r="Q27" s="63" t="s">
        <v>310</v>
      </c>
      <c r="R27" s="72" t="s">
        <v>330</v>
      </c>
    </row>
    <row r="28" spans="1:18" ht="15.75" thickBot="1" x14ac:dyDescent="0.3">
      <c r="A28" s="73">
        <v>42423</v>
      </c>
      <c r="B28" s="74" t="s">
        <v>331</v>
      </c>
      <c r="C28" s="74" t="s">
        <v>310</v>
      </c>
      <c r="D28" s="71" t="s">
        <v>308</v>
      </c>
      <c r="G28" s="73">
        <v>42146</v>
      </c>
      <c r="H28" s="74" t="s">
        <v>320</v>
      </c>
      <c r="I28" s="74" t="s">
        <v>310</v>
      </c>
      <c r="J28" s="72" t="s">
        <v>330</v>
      </c>
      <c r="K28" s="72" t="s">
        <v>330</v>
      </c>
      <c r="L28" s="72" t="s">
        <v>330</v>
      </c>
      <c r="O28" s="62">
        <v>42445</v>
      </c>
      <c r="P28" s="63" t="s">
        <v>351</v>
      </c>
      <c r="Q28" s="63" t="s">
        <v>310</v>
      </c>
      <c r="R28" s="72" t="s">
        <v>330</v>
      </c>
    </row>
    <row r="29" spans="1:18" ht="15.75" thickBot="1" x14ac:dyDescent="0.3">
      <c r="A29" s="73">
        <v>42423</v>
      </c>
      <c r="B29" s="74" t="s">
        <v>342</v>
      </c>
      <c r="C29" s="74" t="s">
        <v>310</v>
      </c>
      <c r="D29" s="75" t="s">
        <v>308</v>
      </c>
      <c r="G29" s="73">
        <v>42146</v>
      </c>
      <c r="H29" s="74" t="s">
        <v>321</v>
      </c>
      <c r="I29" s="74" t="s">
        <v>310</v>
      </c>
      <c r="J29" s="72" t="s">
        <v>330</v>
      </c>
      <c r="K29" s="72" t="s">
        <v>330</v>
      </c>
      <c r="L29" s="72" t="s">
        <v>330</v>
      </c>
      <c r="O29" s="62">
        <v>42445</v>
      </c>
      <c r="P29" s="63" t="s">
        <v>352</v>
      </c>
      <c r="Q29" s="63" t="s">
        <v>310</v>
      </c>
      <c r="R29" s="72" t="s">
        <v>330</v>
      </c>
    </row>
    <row r="30" spans="1:18" ht="15.75" thickBot="1" x14ac:dyDescent="0.3">
      <c r="A30" s="73">
        <v>42423</v>
      </c>
      <c r="B30" s="74" t="s">
        <v>343</v>
      </c>
      <c r="C30" s="76" t="s">
        <v>310</v>
      </c>
      <c r="D30" s="77" t="s">
        <v>308</v>
      </c>
      <c r="G30" s="73">
        <v>42146</v>
      </c>
      <c r="H30" s="74" t="s">
        <v>322</v>
      </c>
      <c r="I30" s="74" t="s">
        <v>310</v>
      </c>
      <c r="J30" s="72" t="s">
        <v>330</v>
      </c>
      <c r="K30" s="72" t="s">
        <v>330</v>
      </c>
      <c r="L30" s="72" t="s">
        <v>330</v>
      </c>
      <c r="O30" s="62">
        <v>42445</v>
      </c>
      <c r="P30" s="63" t="s">
        <v>353</v>
      </c>
      <c r="Q30" s="63" t="s">
        <v>310</v>
      </c>
      <c r="R30" s="72" t="s">
        <v>330</v>
      </c>
    </row>
    <row r="31" spans="1:18" ht="15.75" thickBot="1" x14ac:dyDescent="0.3">
      <c r="A31" s="73">
        <v>42423</v>
      </c>
      <c r="B31" s="74" t="s">
        <v>318</v>
      </c>
      <c r="C31" s="76" t="s">
        <v>310</v>
      </c>
      <c r="D31" s="78" t="s">
        <v>308</v>
      </c>
      <c r="G31" s="73">
        <v>42146</v>
      </c>
      <c r="H31" s="74" t="s">
        <v>332</v>
      </c>
      <c r="I31" s="74" t="s">
        <v>310</v>
      </c>
      <c r="J31" s="72" t="s">
        <v>330</v>
      </c>
      <c r="K31" s="72" t="s">
        <v>330</v>
      </c>
      <c r="L31" s="72" t="s">
        <v>330</v>
      </c>
      <c r="O31" s="62">
        <v>42445</v>
      </c>
      <c r="P31" s="63" t="s">
        <v>354</v>
      </c>
      <c r="Q31" s="63" t="s">
        <v>310</v>
      </c>
      <c r="R31" s="72" t="s">
        <v>330</v>
      </c>
    </row>
    <row r="32" spans="1:18" ht="15.75" thickBot="1" x14ac:dyDescent="0.3">
      <c r="A32" s="73">
        <v>42423</v>
      </c>
      <c r="B32" s="74" t="s">
        <v>344</v>
      </c>
      <c r="C32" s="76" t="s">
        <v>310</v>
      </c>
      <c r="D32" s="72" t="s">
        <v>330</v>
      </c>
      <c r="G32" s="73">
        <v>42146</v>
      </c>
      <c r="H32" s="74" t="s">
        <v>333</v>
      </c>
      <c r="I32" s="74" t="s">
        <v>334</v>
      </c>
      <c r="J32" s="72" t="s">
        <v>330</v>
      </c>
      <c r="K32" s="72" t="s">
        <v>330</v>
      </c>
      <c r="L32" s="72" t="s">
        <v>330</v>
      </c>
      <c r="O32" s="62">
        <v>42445</v>
      </c>
      <c r="P32" s="63" t="s">
        <v>319</v>
      </c>
      <c r="Q32" s="63" t="s">
        <v>310</v>
      </c>
      <c r="R32" s="72" t="s">
        <v>330</v>
      </c>
    </row>
    <row r="33" spans="1:18" ht="15.75" thickBot="1" x14ac:dyDescent="0.3">
      <c r="A33" s="73">
        <v>42423</v>
      </c>
      <c r="B33" s="74" t="s">
        <v>320</v>
      </c>
      <c r="C33" s="76" t="s">
        <v>310</v>
      </c>
      <c r="D33" s="78" t="s">
        <v>308</v>
      </c>
      <c r="G33" s="73">
        <v>42146</v>
      </c>
      <c r="H33" s="74" t="s">
        <v>324</v>
      </c>
      <c r="I33" s="74" t="s">
        <v>310</v>
      </c>
      <c r="J33" s="72" t="s">
        <v>330</v>
      </c>
      <c r="K33" s="72" t="s">
        <v>330</v>
      </c>
      <c r="L33" s="72" t="s">
        <v>330</v>
      </c>
      <c r="O33" s="62">
        <v>42445</v>
      </c>
      <c r="P33" s="63" t="s">
        <v>320</v>
      </c>
      <c r="Q33" s="63" t="s">
        <v>310</v>
      </c>
      <c r="R33" s="72" t="s">
        <v>330</v>
      </c>
    </row>
    <row r="34" spans="1:18" ht="15.75" thickBot="1" x14ac:dyDescent="0.3">
      <c r="A34" s="73">
        <v>42423</v>
      </c>
      <c r="B34" s="74" t="s">
        <v>321</v>
      </c>
      <c r="C34" s="74" t="s">
        <v>310</v>
      </c>
      <c r="D34" s="78" t="s">
        <v>308</v>
      </c>
      <c r="O34" s="62">
        <v>42445</v>
      </c>
      <c r="P34" s="63" t="s">
        <v>321</v>
      </c>
      <c r="Q34" s="63" t="s">
        <v>310</v>
      </c>
      <c r="R34" s="72" t="s">
        <v>330</v>
      </c>
    </row>
    <row r="35" spans="1:18" ht="15.75" thickBot="1" x14ac:dyDescent="0.3">
      <c r="A35" s="73">
        <v>42423</v>
      </c>
      <c r="B35" s="74" t="s">
        <v>322</v>
      </c>
      <c r="C35" s="74" t="s">
        <v>310</v>
      </c>
      <c r="D35" s="78" t="s">
        <v>308</v>
      </c>
      <c r="O35" s="62">
        <v>42445</v>
      </c>
      <c r="P35" s="63" t="s">
        <v>322</v>
      </c>
      <c r="Q35" s="63" t="s">
        <v>310</v>
      </c>
      <c r="R35" s="72" t="s">
        <v>330</v>
      </c>
    </row>
    <row r="36" spans="1:18" ht="15.75" thickBot="1" x14ac:dyDescent="0.3">
      <c r="A36" s="73">
        <v>42423</v>
      </c>
      <c r="B36" s="74" t="s">
        <v>332</v>
      </c>
      <c r="C36" s="74" t="s">
        <v>310</v>
      </c>
      <c r="D36" s="78" t="s">
        <v>308</v>
      </c>
      <c r="O36" s="62">
        <v>42445</v>
      </c>
      <c r="P36" s="63" t="s">
        <v>355</v>
      </c>
      <c r="Q36" s="63" t="s">
        <v>310</v>
      </c>
      <c r="R36" s="72" t="s">
        <v>330</v>
      </c>
    </row>
    <row r="37" spans="1:18" ht="15.75" thickBot="1" x14ac:dyDescent="0.3">
      <c r="A37" s="73">
        <v>42424</v>
      </c>
      <c r="B37" s="74" t="s">
        <v>345</v>
      </c>
      <c r="C37" s="74" t="s">
        <v>310</v>
      </c>
      <c r="D37" s="78" t="s">
        <v>308</v>
      </c>
      <c r="O37" s="62">
        <v>42445</v>
      </c>
      <c r="P37" s="63" t="s">
        <v>324</v>
      </c>
      <c r="Q37" s="63" t="s">
        <v>310</v>
      </c>
      <c r="R37" s="72" t="s">
        <v>330</v>
      </c>
    </row>
    <row r="38" spans="1:18" ht="15.75" thickBot="1" x14ac:dyDescent="0.3">
      <c r="A38" s="73">
        <v>42424</v>
      </c>
      <c r="B38" s="74" t="s">
        <v>324</v>
      </c>
      <c r="C38" s="74" t="s">
        <v>310</v>
      </c>
      <c r="D38" s="78" t="s">
        <v>308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7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273</v>
      </c>
      <c r="D1" s="53" t="s">
        <v>274</v>
      </c>
      <c r="E1" s="53" t="s">
        <v>275</v>
      </c>
      <c r="F1" s="53" t="s">
        <v>276</v>
      </c>
      <c r="G1" s="54" t="s">
        <v>277</v>
      </c>
    </row>
    <row r="2">
      <c r="A2" t="s">
        <v>358</v>
      </c>
      <c r="B2" t="s">
        <v>362</v>
      </c>
      <c r="C2" t="s">
        <v>363</v>
      </c>
      <c r="D2" t="s">
        <v>364</v>
      </c>
      <c r="E2" t="s">
        <v>365</v>
      </c>
      <c r="F2" t="s">
        <v>366</v>
      </c>
      <c r="G2" t="s">
        <v>367</v>
      </c>
    </row>
    <row r="3">
      <c r="A3" t="s">
        <v>358</v>
      </c>
      <c r="B3" t="s">
        <v>368</v>
      </c>
      <c r="C3" t="s">
        <v>363</v>
      </c>
      <c r="D3" t="s">
        <v>364</v>
      </c>
      <c r="E3" t="s">
        <v>369</v>
      </c>
      <c r="F3" t="s">
        <v>366</v>
      </c>
      <c r="G3" t="s">
        <v>370</v>
      </c>
    </row>
    <row r="4">
      <c r="A4" t="s">
        <v>358</v>
      </c>
      <c r="B4" t="s">
        <v>371</v>
      </c>
      <c r="C4" t="s">
        <v>363</v>
      </c>
      <c r="D4" t="s">
        <v>372</v>
      </c>
      <c r="E4" t="s">
        <v>369</v>
      </c>
      <c r="F4" t="s">
        <v>366</v>
      </c>
      <c r="G4" t="s">
        <v>373</v>
      </c>
    </row>
    <row r="5">
      <c r="A5" t="s">
        <v>358</v>
      </c>
      <c r="B5" t="s">
        <v>374</v>
      </c>
      <c r="C5" t="s">
        <v>363</v>
      </c>
      <c r="D5" t="s">
        <v>375</v>
      </c>
      <c r="E5" t="s">
        <v>369</v>
      </c>
      <c r="F5" t="s">
        <v>366</v>
      </c>
      <c r="G5" t="s">
        <v>376</v>
      </c>
    </row>
    <row r="6">
      <c r="A6" t="s">
        <v>358</v>
      </c>
      <c r="B6" t="s">
        <v>377</v>
      </c>
      <c r="C6" t="s">
        <v>363</v>
      </c>
      <c r="D6" t="s">
        <v>378</v>
      </c>
      <c r="E6" t="s">
        <v>369</v>
      </c>
      <c r="F6" t="s">
        <v>366</v>
      </c>
      <c r="G6" t="s">
        <v>379</v>
      </c>
    </row>
    <row r="7">
      <c r="A7" t="s">
        <v>358</v>
      </c>
      <c r="B7" t="s">
        <v>380</v>
      </c>
      <c r="C7" t="s">
        <v>363</v>
      </c>
      <c r="D7" t="s">
        <v>375</v>
      </c>
      <c r="E7" t="s">
        <v>365</v>
      </c>
      <c r="F7" t="s">
        <v>366</v>
      </c>
      <c r="G7" t="s">
        <v>381</v>
      </c>
    </row>
    <row r="8">
      <c r="A8" t="s">
        <v>358</v>
      </c>
      <c r="B8" t="s">
        <v>382</v>
      </c>
      <c r="C8" t="s">
        <v>363</v>
      </c>
      <c r="D8" t="s">
        <v>383</v>
      </c>
      <c r="E8" t="s">
        <v>384</v>
      </c>
      <c r="F8" t="s">
        <v>385</v>
      </c>
      <c r="G8" t="s">
        <v>386</v>
      </c>
    </row>
    <row r="9">
      <c r="A9" t="s">
        <v>358</v>
      </c>
      <c r="B9" t="s">
        <v>387</v>
      </c>
      <c r="C9" t="s">
        <v>363</v>
      </c>
      <c r="D9" t="s">
        <v>375</v>
      </c>
      <c r="E9" t="s">
        <v>384</v>
      </c>
      <c r="F9" t="s">
        <v>385</v>
      </c>
      <c r="G9" t="s">
        <v>386</v>
      </c>
    </row>
    <row r="10">
      <c r="A10" t="s">
        <v>358</v>
      </c>
      <c r="B10" t="s">
        <v>388</v>
      </c>
      <c r="C10" t="s">
        <v>363</v>
      </c>
      <c r="D10" t="s">
        <v>389</v>
      </c>
      <c r="E10" t="s">
        <v>384</v>
      </c>
      <c r="F10" t="s">
        <v>366</v>
      </c>
      <c r="G10" t="s">
        <v>390</v>
      </c>
    </row>
    <row r="11">
      <c r="A11" t="s">
        <v>358</v>
      </c>
      <c r="B11" t="s">
        <v>391</v>
      </c>
      <c r="C11" t="s">
        <v>363</v>
      </c>
      <c r="D11" t="s">
        <v>364</v>
      </c>
      <c r="E11" t="s">
        <v>384</v>
      </c>
      <c r="F11" t="s">
        <v>366</v>
      </c>
      <c r="G11" t="s">
        <v>390</v>
      </c>
    </row>
    <row r="12">
      <c r="A12" t="s">
        <v>358</v>
      </c>
      <c r="B12" t="s">
        <v>392</v>
      </c>
      <c r="C12" t="s">
        <v>363</v>
      </c>
      <c r="D12" t="s">
        <v>378</v>
      </c>
      <c r="E12" t="s">
        <v>384</v>
      </c>
      <c r="F12" t="s">
        <v>366</v>
      </c>
      <c r="G12" t="s">
        <v>393</v>
      </c>
    </row>
    <row r="13">
      <c r="A13" t="s">
        <v>358</v>
      </c>
      <c r="B13" t="s">
        <v>394</v>
      </c>
      <c r="C13" t="s">
        <v>363</v>
      </c>
      <c r="D13" t="s">
        <v>375</v>
      </c>
      <c r="E13" t="s">
        <v>384</v>
      </c>
      <c r="F13" t="s">
        <v>366</v>
      </c>
      <c r="G13" t="s">
        <v>393</v>
      </c>
    </row>
    <row r="14">
      <c r="A14" t="s">
        <v>358</v>
      </c>
      <c r="B14" t="s">
        <v>395</v>
      </c>
      <c r="C14" t="s">
        <v>363</v>
      </c>
      <c r="D14" t="s">
        <v>372</v>
      </c>
      <c r="E14" t="s">
        <v>384</v>
      </c>
      <c r="F14" t="s">
        <v>366</v>
      </c>
      <c r="G14" t="s">
        <v>393</v>
      </c>
    </row>
    <row r="15">
      <c r="A15" t="s">
        <v>358</v>
      </c>
      <c r="B15" t="s">
        <v>396</v>
      </c>
      <c r="C15" t="s">
        <v>363</v>
      </c>
      <c r="D15" t="s">
        <v>364</v>
      </c>
      <c r="E15" t="s">
        <v>365</v>
      </c>
      <c r="F15" t="s">
        <v>366</v>
      </c>
      <c r="G15" t="s">
        <v>397</v>
      </c>
    </row>
    <row r="16">
      <c r="A16" t="s">
        <v>358</v>
      </c>
      <c r="B16" t="s">
        <v>398</v>
      </c>
      <c r="C16" t="s">
        <v>363</v>
      </c>
      <c r="D16" t="s">
        <v>372</v>
      </c>
      <c r="E16" t="s">
        <v>384</v>
      </c>
      <c r="F16" t="s">
        <v>366</v>
      </c>
      <c r="G16" t="s">
        <v>393</v>
      </c>
    </row>
    <row r="17">
      <c r="A17" t="s">
        <v>358</v>
      </c>
      <c r="B17" t="s">
        <v>399</v>
      </c>
      <c r="C17" t="s">
        <v>363</v>
      </c>
      <c r="D17" t="s">
        <v>375</v>
      </c>
      <c r="E17" t="s">
        <v>384</v>
      </c>
      <c r="F17" t="s">
        <v>366</v>
      </c>
      <c r="G17" t="s">
        <v>393</v>
      </c>
    </row>
    <row r="18">
      <c r="A18" t="s">
        <v>358</v>
      </c>
      <c r="B18" t="s">
        <v>400</v>
      </c>
      <c r="C18" t="s">
        <v>363</v>
      </c>
      <c r="D18" t="s">
        <v>364</v>
      </c>
      <c r="E18" t="s">
        <v>384</v>
      </c>
      <c r="F18" t="s">
        <v>366</v>
      </c>
      <c r="G18" t="s">
        <v>390</v>
      </c>
    </row>
    <row r="19">
      <c r="A19" t="s">
        <v>358</v>
      </c>
      <c r="B19" t="s">
        <v>401</v>
      </c>
      <c r="C19" t="s">
        <v>363</v>
      </c>
      <c r="D19" t="s">
        <v>364</v>
      </c>
      <c r="E19" t="s">
        <v>402</v>
      </c>
      <c r="F19" t="s">
        <v>366</v>
      </c>
      <c r="G19" t="s">
        <v>403</v>
      </c>
    </row>
    <row r="20">
      <c r="A20" t="s">
        <v>358</v>
      </c>
      <c r="B20" t="s">
        <v>404</v>
      </c>
      <c r="C20" t="s">
        <v>363</v>
      </c>
      <c r="D20" t="s">
        <v>378</v>
      </c>
      <c r="E20" t="s">
        <v>402</v>
      </c>
      <c r="F20" t="s">
        <v>366</v>
      </c>
      <c r="G20" t="s">
        <v>405</v>
      </c>
    </row>
    <row r="21">
      <c r="A21" t="s">
        <v>358</v>
      </c>
      <c r="B21" t="s">
        <v>406</v>
      </c>
      <c r="C21" t="s">
        <v>363</v>
      </c>
      <c r="D21" t="s">
        <v>375</v>
      </c>
      <c r="E21" t="s">
        <v>402</v>
      </c>
      <c r="F21" t="s">
        <v>366</v>
      </c>
      <c r="G21" t="s">
        <v>405</v>
      </c>
    </row>
    <row r="22">
      <c r="A22" t="s">
        <v>358</v>
      </c>
      <c r="B22" t="s">
        <v>407</v>
      </c>
      <c r="C22" t="s">
        <v>363</v>
      </c>
      <c r="D22" t="s">
        <v>372</v>
      </c>
      <c r="E22" t="s">
        <v>408</v>
      </c>
      <c r="F22" t="s">
        <v>366</v>
      </c>
      <c r="G22" t="s">
        <v>409</v>
      </c>
    </row>
    <row r="23">
      <c r="A23" t="s">
        <v>358</v>
      </c>
      <c r="B23" t="s">
        <v>410</v>
      </c>
      <c r="C23" t="s">
        <v>363</v>
      </c>
      <c r="D23" t="s">
        <v>364</v>
      </c>
      <c r="E23" t="s">
        <v>384</v>
      </c>
      <c r="F23" t="s">
        <v>366</v>
      </c>
      <c r="G23" t="s">
        <v>390</v>
      </c>
    </row>
    <row r="24">
      <c r="A24" t="s">
        <v>358</v>
      </c>
      <c r="B24" t="s">
        <v>411</v>
      </c>
      <c r="C24" t="s">
        <v>363</v>
      </c>
      <c r="D24" t="s">
        <v>375</v>
      </c>
      <c r="E24" t="s">
        <v>384</v>
      </c>
      <c r="F24" t="s">
        <v>366</v>
      </c>
      <c r="G24" t="s">
        <v>393</v>
      </c>
    </row>
    <row r="25">
      <c r="A25" t="s">
        <v>358</v>
      </c>
      <c r="B25" t="s">
        <v>412</v>
      </c>
      <c r="C25" t="s">
        <v>363</v>
      </c>
      <c r="D25" t="s">
        <v>364</v>
      </c>
      <c r="E25" t="s">
        <v>384</v>
      </c>
      <c r="F25" t="s">
        <v>366</v>
      </c>
      <c r="G25" t="s">
        <v>390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7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80" t="s">
        <v>161</v>
      </c>
      <c r="B1" s="53" t="s">
        <v>272</v>
      </c>
      <c r="C1" s="53" t="s">
        <v>278</v>
      </c>
      <c r="D1" s="53" t="s">
        <v>279</v>
      </c>
      <c r="E1" s="53" t="s">
        <v>280</v>
      </c>
      <c r="F1" s="55" t="s">
        <v>275</v>
      </c>
      <c r="G1" s="56" t="s">
        <v>272</v>
      </c>
    </row>
    <row r="2" spans="1:7" ht="15.75" thickTop="1" x14ac:dyDescent="0.25"/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7" width="22.85546875" collapsed="true"/>
    <col min="17" max="17" customWidth="true" width="104.0" collapsed="true"/>
  </cols>
  <sheetData>
    <row r="1" spans="1:19" ht="16.5" thickTop="1" thickBot="1" x14ac:dyDescent="0.3">
      <c r="A1" s="80" t="s">
        <v>161</v>
      </c>
      <c r="B1" s="53" t="s">
        <v>281</v>
      </c>
      <c r="C1" s="53" t="s">
        <v>282</v>
      </c>
      <c r="D1" s="53" t="s">
        <v>283</v>
      </c>
      <c r="E1" s="53" t="s">
        <v>284</v>
      </c>
      <c r="F1" s="53" t="s">
        <v>285</v>
      </c>
      <c r="G1" s="53" t="s">
        <v>286</v>
      </c>
      <c r="H1" s="53" t="s">
        <v>287</v>
      </c>
      <c r="I1" s="53" t="s">
        <v>288</v>
      </c>
      <c r="J1" s="57" t="s">
        <v>289</v>
      </c>
      <c r="K1" s="53" t="s">
        <v>290</v>
      </c>
      <c r="L1" s="53" t="s">
        <v>291</v>
      </c>
      <c r="M1" s="57" t="s">
        <v>292</v>
      </c>
      <c r="N1" s="53" t="s">
        <v>293</v>
      </c>
      <c r="O1" s="53" t="s">
        <v>274</v>
      </c>
      <c r="P1" s="53" t="s">
        <v>294</v>
      </c>
      <c r="Q1" s="53" t="s">
        <v>295</v>
      </c>
      <c r="R1" s="58" t="s">
        <v>296</v>
      </c>
      <c r="S1" s="59" t="s">
        <v>186</v>
      </c>
    </row>
    <row r="2" spans="1:19" ht="15.75" thickTop="1" x14ac:dyDescent="0.25"/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7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80" t="s">
        <v>161</v>
      </c>
      <c r="B1" s="60" t="s">
        <v>297</v>
      </c>
      <c r="C1" s="60" t="s">
        <v>299</v>
      </c>
      <c r="D1" s="60" t="s">
        <v>298</v>
      </c>
      <c r="E1" s="60" t="s">
        <v>300</v>
      </c>
      <c r="F1" s="60" t="s">
        <v>301</v>
      </c>
    </row>
    <row r="2">
      <c r="A2" t="s">
        <v>358</v>
      </c>
      <c r="B2" t="s">
        <v>414</v>
      </c>
      <c r="C2" t="s">
        <v>413</v>
      </c>
      <c r="D2" t="s">
        <v>415</v>
      </c>
      <c r="E2" t="s">
        <v>416</v>
      </c>
      <c r="F2" t="s">
        <v>417</v>
      </c>
    </row>
    <row r="3">
      <c r="A3" t="s">
        <v>358</v>
      </c>
      <c r="B3" t="s">
        <v>419</v>
      </c>
      <c r="C3" t="s">
        <v>418</v>
      </c>
      <c r="D3" t="s">
        <v>420</v>
      </c>
      <c r="E3" t="s">
        <v>421</v>
      </c>
      <c r="F3" t="s">
        <v>422</v>
      </c>
    </row>
    <row r="4">
      <c r="A4" t="s">
        <v>358</v>
      </c>
      <c r="B4" t="s">
        <v>419</v>
      </c>
      <c r="C4" t="s">
        <v>423</v>
      </c>
      <c r="D4" t="s">
        <v>420</v>
      </c>
      <c r="E4" t="s">
        <v>421</v>
      </c>
      <c r="F4" t="s">
        <v>422</v>
      </c>
    </row>
    <row r="5">
      <c r="A5" t="s">
        <v>358</v>
      </c>
      <c r="B5" t="s">
        <v>419</v>
      </c>
      <c r="C5" t="s">
        <v>424</v>
      </c>
      <c r="D5" t="s">
        <v>415</v>
      </c>
      <c r="E5" t="s">
        <v>425</v>
      </c>
      <c r="F5" t="s">
        <v>426</v>
      </c>
    </row>
    <row r="6">
      <c r="A6" t="s">
        <v>358</v>
      </c>
      <c r="B6" t="s">
        <v>419</v>
      </c>
      <c r="C6" t="s">
        <v>427</v>
      </c>
      <c r="D6" t="s">
        <v>415</v>
      </c>
      <c r="E6" t="s">
        <v>428</v>
      </c>
      <c r="F6" t="s">
        <v>429</v>
      </c>
    </row>
    <row r="7">
      <c r="A7" t="s">
        <v>358</v>
      </c>
      <c r="B7" t="s">
        <v>430</v>
      </c>
      <c r="C7" t="s">
        <v>418</v>
      </c>
      <c r="D7" t="s">
        <v>420</v>
      </c>
      <c r="E7" t="s">
        <v>416</v>
      </c>
      <c r="F7" t="s">
        <v>422</v>
      </c>
    </row>
    <row r="8">
      <c r="A8" t="s">
        <v>358</v>
      </c>
      <c r="B8" t="s">
        <v>430</v>
      </c>
      <c r="C8" t="s">
        <v>431</v>
      </c>
      <c r="D8" t="s">
        <v>432</v>
      </c>
      <c r="E8" t="s">
        <v>433</v>
      </c>
      <c r="F8" t="s">
        <v>422</v>
      </c>
    </row>
    <row r="9">
      <c r="A9" t="s">
        <v>358</v>
      </c>
      <c r="B9" t="s">
        <v>434</v>
      </c>
      <c r="C9" t="s">
        <v>423</v>
      </c>
      <c r="D9" t="s">
        <v>420</v>
      </c>
      <c r="E9" t="s">
        <v>416</v>
      </c>
      <c r="F9" t="s">
        <v>422</v>
      </c>
    </row>
    <row r="10">
      <c r="A10" t="s">
        <v>358</v>
      </c>
      <c r="B10" t="s">
        <v>435</v>
      </c>
      <c r="C10" t="s">
        <v>418</v>
      </c>
      <c r="D10" t="s">
        <v>420</v>
      </c>
      <c r="E10" t="s">
        <v>436</v>
      </c>
      <c r="F10" t="s">
        <v>422</v>
      </c>
    </row>
    <row r="11">
      <c r="A11" t="s">
        <v>358</v>
      </c>
      <c r="B11" t="s">
        <v>435</v>
      </c>
      <c r="C11" t="s">
        <v>437</v>
      </c>
      <c r="D11" t="s">
        <v>438</v>
      </c>
      <c r="E11" t="s">
        <v>421</v>
      </c>
      <c r="F11" t="s">
        <v>422</v>
      </c>
    </row>
    <row r="12">
      <c r="A12" t="s">
        <v>358</v>
      </c>
      <c r="B12" t="s">
        <v>435</v>
      </c>
      <c r="C12" t="s">
        <v>439</v>
      </c>
      <c r="D12" t="s">
        <v>438</v>
      </c>
      <c r="E12" t="s">
        <v>421</v>
      </c>
      <c r="F12" t="s">
        <v>422</v>
      </c>
    </row>
    <row r="13">
      <c r="A13" t="s">
        <v>358</v>
      </c>
      <c r="B13" t="s">
        <v>435</v>
      </c>
      <c r="C13" t="s">
        <v>440</v>
      </c>
      <c r="D13" t="s">
        <v>432</v>
      </c>
      <c r="E13" t="s">
        <v>441</v>
      </c>
      <c r="F13" t="s">
        <v>422</v>
      </c>
    </row>
    <row r="14">
      <c r="A14" t="s">
        <v>358</v>
      </c>
      <c r="B14" t="s">
        <v>435</v>
      </c>
      <c r="C14" t="s">
        <v>431</v>
      </c>
      <c r="D14" t="s">
        <v>432</v>
      </c>
      <c r="E14" t="s">
        <v>442</v>
      </c>
      <c r="F14" t="s">
        <v>422</v>
      </c>
    </row>
    <row r="15">
      <c r="A15" t="s">
        <v>358</v>
      </c>
      <c r="B15" t="s">
        <v>435</v>
      </c>
      <c r="C15" t="s">
        <v>443</v>
      </c>
      <c r="D15" t="s">
        <v>415</v>
      </c>
      <c r="E15" t="s">
        <v>444</v>
      </c>
      <c r="F15" t="s">
        <v>445</v>
      </c>
    </row>
    <row r="16">
      <c r="A16" t="s">
        <v>358</v>
      </c>
      <c r="B16" t="s">
        <v>435</v>
      </c>
      <c r="C16" t="s">
        <v>443</v>
      </c>
      <c r="D16" t="s">
        <v>415</v>
      </c>
      <c r="E16" t="s">
        <v>446</v>
      </c>
      <c r="F16" t="s">
        <v>445</v>
      </c>
    </row>
    <row r="17">
      <c r="A17" t="s">
        <v>358</v>
      </c>
      <c r="B17" t="s">
        <v>447</v>
      </c>
      <c r="C17" t="s">
        <v>431</v>
      </c>
      <c r="D17" t="s">
        <v>432</v>
      </c>
      <c r="E17" t="s">
        <v>448</v>
      </c>
      <c r="F17" t="s">
        <v>422</v>
      </c>
    </row>
    <row r="18">
      <c r="A18" t="s">
        <v>358</v>
      </c>
      <c r="B18" t="s">
        <v>450</v>
      </c>
      <c r="C18" t="s">
        <v>449</v>
      </c>
      <c r="D18" t="s">
        <v>451</v>
      </c>
      <c r="E18" t="s">
        <v>421</v>
      </c>
      <c r="F18" t="s">
        <v>422</v>
      </c>
    </row>
    <row r="19">
      <c r="A19" t="s">
        <v>358</v>
      </c>
      <c r="B19" t="s">
        <v>450</v>
      </c>
      <c r="C19" t="s">
        <v>452</v>
      </c>
      <c r="D19" t="s">
        <v>451</v>
      </c>
      <c r="E19" t="s">
        <v>421</v>
      </c>
      <c r="F19" t="s">
        <v>422</v>
      </c>
    </row>
    <row r="20">
      <c r="A20" t="s">
        <v>358</v>
      </c>
      <c r="B20" t="s">
        <v>450</v>
      </c>
      <c r="C20" t="s">
        <v>453</v>
      </c>
      <c r="D20" t="s">
        <v>438</v>
      </c>
      <c r="E20" t="s">
        <v>421</v>
      </c>
      <c r="F20" t="s">
        <v>422</v>
      </c>
    </row>
    <row r="21">
      <c r="A21" t="s">
        <v>358</v>
      </c>
      <c r="B21" t="s">
        <v>450</v>
      </c>
      <c r="C21" t="s">
        <v>454</v>
      </c>
      <c r="D21" t="s">
        <v>438</v>
      </c>
      <c r="E21" t="s">
        <v>421</v>
      </c>
      <c r="F21" t="s">
        <v>422</v>
      </c>
    </row>
    <row r="22">
      <c r="A22" t="s">
        <v>358</v>
      </c>
      <c r="B22" t="s">
        <v>450</v>
      </c>
      <c r="C22" t="s">
        <v>455</v>
      </c>
      <c r="D22" t="s">
        <v>415</v>
      </c>
      <c r="E22" t="s">
        <v>428</v>
      </c>
      <c r="F22" t="s">
        <v>456</v>
      </c>
    </row>
    <row r="23">
      <c r="A23" t="s">
        <v>358</v>
      </c>
      <c r="B23" t="s">
        <v>450</v>
      </c>
      <c r="C23" t="s">
        <v>443</v>
      </c>
      <c r="D23" t="s">
        <v>415</v>
      </c>
      <c r="E23" t="s">
        <v>457</v>
      </c>
      <c r="F23" t="s">
        <v>445</v>
      </c>
    </row>
    <row r="24">
      <c r="A24" t="s">
        <v>358</v>
      </c>
      <c r="B24" t="s">
        <v>450</v>
      </c>
      <c r="C24" t="s">
        <v>443</v>
      </c>
      <c r="D24" t="s">
        <v>415</v>
      </c>
      <c r="E24" t="s">
        <v>458</v>
      </c>
      <c r="F24" t="s">
        <v>445</v>
      </c>
    </row>
    <row r="25">
      <c r="A25" t="s">
        <v>358</v>
      </c>
      <c r="B25" t="s">
        <v>450</v>
      </c>
      <c r="C25" t="s">
        <v>459</v>
      </c>
      <c r="D25" t="s">
        <v>415</v>
      </c>
      <c r="E25" t="s">
        <v>460</v>
      </c>
      <c r="F25" t="s">
        <v>456</v>
      </c>
    </row>
    <row r="26">
      <c r="A26" t="s">
        <v>358</v>
      </c>
      <c r="B26" t="s">
        <v>461</v>
      </c>
      <c r="C26" t="s">
        <v>418</v>
      </c>
      <c r="D26" t="s">
        <v>420</v>
      </c>
      <c r="E26" t="s">
        <v>462</v>
      </c>
      <c r="F26" t="s">
        <v>422</v>
      </c>
    </row>
    <row r="27">
      <c r="A27" t="s">
        <v>358</v>
      </c>
      <c r="B27" t="s">
        <v>461</v>
      </c>
      <c r="C27" t="s">
        <v>437</v>
      </c>
      <c r="D27" t="s">
        <v>438</v>
      </c>
      <c r="E27" t="s">
        <v>416</v>
      </c>
      <c r="F27" t="s">
        <v>422</v>
      </c>
    </row>
    <row r="28">
      <c r="A28" t="s">
        <v>358</v>
      </c>
      <c r="B28" t="s">
        <v>461</v>
      </c>
      <c r="C28" t="s">
        <v>439</v>
      </c>
      <c r="D28" t="s">
        <v>438</v>
      </c>
      <c r="E28" t="s">
        <v>416</v>
      </c>
      <c r="F28" t="s">
        <v>422</v>
      </c>
    </row>
    <row r="29">
      <c r="A29" t="s">
        <v>358</v>
      </c>
      <c r="B29" t="s">
        <v>463</v>
      </c>
      <c r="C29" t="s">
        <v>449</v>
      </c>
      <c r="D29" t="s">
        <v>451</v>
      </c>
      <c r="E29" t="s">
        <v>416</v>
      </c>
      <c r="F29" t="s">
        <v>422</v>
      </c>
    </row>
    <row r="30">
      <c r="A30" t="s">
        <v>358</v>
      </c>
      <c r="B30" t="s">
        <v>463</v>
      </c>
      <c r="C30" t="s">
        <v>452</v>
      </c>
      <c r="D30" t="s">
        <v>451</v>
      </c>
      <c r="E30" t="s">
        <v>416</v>
      </c>
      <c r="F30" t="s">
        <v>422</v>
      </c>
    </row>
    <row r="31">
      <c r="A31" t="s">
        <v>358</v>
      </c>
      <c r="B31" t="s">
        <v>463</v>
      </c>
      <c r="C31" t="s">
        <v>453</v>
      </c>
      <c r="D31" t="s">
        <v>438</v>
      </c>
      <c r="E31" t="s">
        <v>416</v>
      </c>
      <c r="F31" t="s">
        <v>422</v>
      </c>
    </row>
    <row r="32">
      <c r="A32" t="s">
        <v>358</v>
      </c>
      <c r="B32" t="s">
        <v>463</v>
      </c>
      <c r="C32" t="s">
        <v>454</v>
      </c>
      <c r="D32" t="s">
        <v>438</v>
      </c>
      <c r="E32" t="s">
        <v>416</v>
      </c>
      <c r="F32" t="s">
        <v>422</v>
      </c>
    </row>
    <row r="33">
      <c r="A33" t="s">
        <v>358</v>
      </c>
      <c r="B33" t="s">
        <v>465</v>
      </c>
      <c r="C33" t="s">
        <v>464</v>
      </c>
      <c r="D33" t="s">
        <v>466</v>
      </c>
      <c r="E33" t="s">
        <v>467</v>
      </c>
      <c r="F33" t="s">
        <v>422</v>
      </c>
    </row>
    <row r="34">
      <c r="A34" t="s">
        <v>358</v>
      </c>
      <c r="B34" t="s">
        <v>465</v>
      </c>
      <c r="C34" t="s">
        <v>413</v>
      </c>
      <c r="D34" t="s">
        <v>415</v>
      </c>
      <c r="E34" t="s">
        <v>436</v>
      </c>
      <c r="F34" t="s">
        <v>417</v>
      </c>
    </row>
    <row r="35">
      <c r="A35" t="s">
        <v>358</v>
      </c>
      <c r="B35" t="s">
        <v>469</v>
      </c>
      <c r="C35" t="s">
        <v>468</v>
      </c>
      <c r="D35" t="s">
        <v>451</v>
      </c>
      <c r="E35" t="s">
        <v>436</v>
      </c>
      <c r="F35" t="s">
        <v>422</v>
      </c>
    </row>
    <row r="36">
      <c r="A36" t="s">
        <v>358</v>
      </c>
      <c r="B36" t="s">
        <v>470</v>
      </c>
      <c r="C36" t="s">
        <v>468</v>
      </c>
      <c r="D36" t="s">
        <v>451</v>
      </c>
      <c r="E36" t="s">
        <v>421</v>
      </c>
      <c r="F36" t="s">
        <v>422</v>
      </c>
    </row>
    <row r="37">
      <c r="A37" t="s">
        <v>358</v>
      </c>
      <c r="B37" t="s">
        <v>470</v>
      </c>
      <c r="C37" t="s">
        <v>468</v>
      </c>
      <c r="D37" t="s">
        <v>451</v>
      </c>
      <c r="E37" t="s">
        <v>416</v>
      </c>
      <c r="F37" t="s">
        <v>422</v>
      </c>
    </row>
    <row r="38">
      <c r="A38" t="s">
        <v>358</v>
      </c>
      <c r="B38" t="s">
        <v>471</v>
      </c>
      <c r="C38" t="s">
        <v>418</v>
      </c>
      <c r="D38" t="s">
        <v>420</v>
      </c>
      <c r="E38" t="s">
        <v>472</v>
      </c>
      <c r="F38" t="s">
        <v>422</v>
      </c>
    </row>
    <row r="39">
      <c r="A39" t="s">
        <v>358</v>
      </c>
      <c r="B39" t="s">
        <v>473</v>
      </c>
      <c r="C39" t="s">
        <v>452</v>
      </c>
      <c r="D39" t="s">
        <v>451</v>
      </c>
      <c r="E39" t="s">
        <v>436</v>
      </c>
      <c r="F39" t="s">
        <v>422</v>
      </c>
    </row>
    <row r="40">
      <c r="A40" t="s">
        <v>358</v>
      </c>
      <c r="B40" t="s">
        <v>473</v>
      </c>
      <c r="C40" t="s">
        <v>453</v>
      </c>
      <c r="D40" t="s">
        <v>438</v>
      </c>
      <c r="E40" t="s">
        <v>436</v>
      </c>
      <c r="F40" t="s">
        <v>422</v>
      </c>
    </row>
    <row r="41">
      <c r="A41" t="s">
        <v>358</v>
      </c>
      <c r="B41" t="s">
        <v>473</v>
      </c>
      <c r="C41" t="s">
        <v>454</v>
      </c>
      <c r="D41" t="s">
        <v>438</v>
      </c>
      <c r="E41" t="s">
        <v>436</v>
      </c>
      <c r="F41" t="s">
        <v>422</v>
      </c>
    </row>
    <row r="42">
      <c r="A42" t="s">
        <v>358</v>
      </c>
      <c r="B42" t="s">
        <v>474</v>
      </c>
      <c r="C42" t="s">
        <v>418</v>
      </c>
      <c r="D42" t="s">
        <v>420</v>
      </c>
      <c r="E42" t="s">
        <v>475</v>
      </c>
      <c r="F42" t="s">
        <v>422</v>
      </c>
    </row>
    <row r="43">
      <c r="A43" t="s">
        <v>358</v>
      </c>
      <c r="B43" t="s">
        <v>474</v>
      </c>
      <c r="C43" t="s">
        <v>423</v>
      </c>
      <c r="D43" t="s">
        <v>420</v>
      </c>
      <c r="E43" t="s">
        <v>436</v>
      </c>
      <c r="F43" t="s">
        <v>422</v>
      </c>
    </row>
    <row r="44">
      <c r="A44" t="s">
        <v>358</v>
      </c>
      <c r="B44" t="s">
        <v>474</v>
      </c>
      <c r="C44" t="s">
        <v>439</v>
      </c>
      <c r="D44" t="s">
        <v>438</v>
      </c>
      <c r="E44" t="s">
        <v>436</v>
      </c>
      <c r="F44" t="s">
        <v>422</v>
      </c>
    </row>
    <row r="45">
      <c r="A45" t="s">
        <v>358</v>
      </c>
      <c r="B45" t="s">
        <v>476</v>
      </c>
      <c r="C45" t="s">
        <v>452</v>
      </c>
      <c r="D45" t="s">
        <v>451</v>
      </c>
      <c r="E45" t="s">
        <v>462</v>
      </c>
      <c r="F45" t="s">
        <v>422</v>
      </c>
    </row>
    <row r="46">
      <c r="A46" t="s">
        <v>358</v>
      </c>
      <c r="B46" t="s">
        <v>476</v>
      </c>
      <c r="C46" t="s">
        <v>453</v>
      </c>
      <c r="D46" t="s">
        <v>438</v>
      </c>
      <c r="E46" t="s">
        <v>462</v>
      </c>
      <c r="F46" t="s">
        <v>422</v>
      </c>
    </row>
    <row r="47">
      <c r="A47" t="s">
        <v>358</v>
      </c>
      <c r="B47" t="s">
        <v>476</v>
      </c>
      <c r="C47" t="s">
        <v>454</v>
      </c>
      <c r="D47" t="s">
        <v>438</v>
      </c>
      <c r="E47" t="s">
        <v>462</v>
      </c>
      <c r="F47" t="s">
        <v>422</v>
      </c>
    </row>
    <row r="48">
      <c r="A48" t="s">
        <v>358</v>
      </c>
      <c r="B48" t="s">
        <v>478</v>
      </c>
      <c r="C48" t="s">
        <v>477</v>
      </c>
      <c r="D48" t="s">
        <v>479</v>
      </c>
      <c r="E48" t="s">
        <v>421</v>
      </c>
      <c r="F48" t="s">
        <v>422</v>
      </c>
    </row>
    <row r="49">
      <c r="A49" t="s">
        <v>358</v>
      </c>
      <c r="B49" t="s">
        <v>478</v>
      </c>
      <c r="C49" t="s">
        <v>480</v>
      </c>
      <c r="D49" t="s">
        <v>415</v>
      </c>
      <c r="E49" t="s">
        <v>436</v>
      </c>
      <c r="F49" t="s">
        <v>481</v>
      </c>
    </row>
    <row r="50">
      <c r="A50" t="s">
        <v>358</v>
      </c>
      <c r="B50" t="s">
        <v>482</v>
      </c>
      <c r="C50" t="s">
        <v>477</v>
      </c>
      <c r="D50" t="s">
        <v>479</v>
      </c>
      <c r="E50" t="s">
        <v>416</v>
      </c>
      <c r="F50" t="s">
        <v>422</v>
      </c>
    </row>
    <row r="51">
      <c r="A51" t="s">
        <v>358</v>
      </c>
      <c r="B51" t="s">
        <v>484</v>
      </c>
      <c r="C51" t="s">
        <v>483</v>
      </c>
      <c r="D51" t="s">
        <v>415</v>
      </c>
      <c r="E51" t="s">
        <v>436</v>
      </c>
      <c r="F51" t="s">
        <v>485</v>
      </c>
    </row>
    <row r="52">
      <c r="A52" t="s">
        <v>358</v>
      </c>
      <c r="B52" t="s">
        <v>484</v>
      </c>
      <c r="C52" t="s">
        <v>483</v>
      </c>
      <c r="D52" t="s">
        <v>415</v>
      </c>
      <c r="E52" t="s">
        <v>462</v>
      </c>
      <c r="F52" t="s">
        <v>485</v>
      </c>
    </row>
    <row r="53">
      <c r="A53" t="s">
        <v>358</v>
      </c>
      <c r="B53" t="s">
        <v>484</v>
      </c>
      <c r="C53" t="s">
        <v>486</v>
      </c>
      <c r="D53" t="s">
        <v>432</v>
      </c>
      <c r="E53" t="s">
        <v>421</v>
      </c>
      <c r="F53" t="s">
        <v>487</v>
      </c>
    </row>
    <row r="54">
      <c r="A54" t="s">
        <v>358</v>
      </c>
      <c r="B54" t="s">
        <v>484</v>
      </c>
      <c r="C54" t="s">
        <v>486</v>
      </c>
      <c r="D54" t="s">
        <v>432</v>
      </c>
      <c r="E54" t="s">
        <v>416</v>
      </c>
      <c r="F54" t="s">
        <v>422</v>
      </c>
    </row>
    <row r="55">
      <c r="A55" t="s">
        <v>358</v>
      </c>
      <c r="B55" t="s">
        <v>488</v>
      </c>
      <c r="C55" t="s">
        <v>452</v>
      </c>
      <c r="D55" t="s">
        <v>451</v>
      </c>
      <c r="E55" t="s">
        <v>472</v>
      </c>
      <c r="F55" t="s">
        <v>422</v>
      </c>
    </row>
    <row r="56">
      <c r="A56" t="s">
        <v>358</v>
      </c>
      <c r="B56" t="s">
        <v>488</v>
      </c>
      <c r="C56" t="s">
        <v>454</v>
      </c>
      <c r="D56" t="s">
        <v>438</v>
      </c>
      <c r="E56" t="s">
        <v>472</v>
      </c>
      <c r="F56" t="s">
        <v>422</v>
      </c>
    </row>
    <row r="57">
      <c r="A57" t="s">
        <v>358</v>
      </c>
      <c r="B57" t="s">
        <v>489</v>
      </c>
      <c r="C57" t="s">
        <v>431</v>
      </c>
      <c r="D57" t="s">
        <v>432</v>
      </c>
      <c r="E57" t="s">
        <v>490</v>
      </c>
      <c r="F57" t="s">
        <v>422</v>
      </c>
    </row>
    <row r="58">
      <c r="A58" t="s">
        <v>358</v>
      </c>
      <c r="B58" t="s">
        <v>491</v>
      </c>
      <c r="C58" t="s">
        <v>454</v>
      </c>
      <c r="D58" t="s">
        <v>438</v>
      </c>
      <c r="E58" t="s">
        <v>475</v>
      </c>
      <c r="F58" t="s">
        <v>422</v>
      </c>
    </row>
    <row r="59">
      <c r="A59" t="s">
        <v>358</v>
      </c>
      <c r="B59" t="s">
        <v>491</v>
      </c>
      <c r="C59" t="s">
        <v>439</v>
      </c>
      <c r="D59" t="s">
        <v>438</v>
      </c>
      <c r="E59" t="s">
        <v>462</v>
      </c>
      <c r="F59" t="s">
        <v>422</v>
      </c>
    </row>
    <row r="60">
      <c r="A60" t="s">
        <v>358</v>
      </c>
      <c r="B60" t="s">
        <v>493</v>
      </c>
      <c r="C60" t="s">
        <v>492</v>
      </c>
      <c r="D60" t="s">
        <v>432</v>
      </c>
      <c r="E60" t="s">
        <v>421</v>
      </c>
      <c r="F60" t="s">
        <v>422</v>
      </c>
    </row>
    <row r="61">
      <c r="A61" t="s">
        <v>358</v>
      </c>
      <c r="B61" t="s">
        <v>493</v>
      </c>
      <c r="C61" t="s">
        <v>494</v>
      </c>
      <c r="D61" t="s">
        <v>432</v>
      </c>
      <c r="E61" t="s">
        <v>421</v>
      </c>
      <c r="F61" t="s">
        <v>422</v>
      </c>
    </row>
    <row r="62">
      <c r="A62" t="s">
        <v>358</v>
      </c>
      <c r="B62" t="s">
        <v>493</v>
      </c>
      <c r="C62" t="s">
        <v>495</v>
      </c>
      <c r="D62" t="s">
        <v>415</v>
      </c>
      <c r="E62" t="s">
        <v>436</v>
      </c>
      <c r="F62" t="s">
        <v>496</v>
      </c>
    </row>
    <row r="63">
      <c r="A63" t="s">
        <v>358</v>
      </c>
      <c r="B63" t="s">
        <v>493</v>
      </c>
      <c r="C63" t="s">
        <v>495</v>
      </c>
      <c r="D63" t="s">
        <v>415</v>
      </c>
      <c r="E63" t="s">
        <v>462</v>
      </c>
      <c r="F63" t="s">
        <v>496</v>
      </c>
    </row>
    <row r="64">
      <c r="A64" t="s">
        <v>358</v>
      </c>
      <c r="B64" t="s">
        <v>497</v>
      </c>
      <c r="C64" t="s">
        <v>413</v>
      </c>
      <c r="D64" t="s">
        <v>415</v>
      </c>
      <c r="E64" t="s">
        <v>436</v>
      </c>
      <c r="F64" t="s">
        <v>498</v>
      </c>
    </row>
    <row r="65">
      <c r="A65" t="s">
        <v>358</v>
      </c>
      <c r="B65" t="s">
        <v>499</v>
      </c>
      <c r="C65" t="s">
        <v>468</v>
      </c>
      <c r="D65" t="s">
        <v>451</v>
      </c>
      <c r="E65" t="s">
        <v>462</v>
      </c>
      <c r="F65" t="s">
        <v>422</v>
      </c>
    </row>
    <row r="66">
      <c r="A66" t="s">
        <v>358</v>
      </c>
      <c r="B66" t="s">
        <v>499</v>
      </c>
      <c r="C66" t="s">
        <v>486</v>
      </c>
      <c r="D66" t="s">
        <v>432</v>
      </c>
      <c r="E66" t="s">
        <v>436</v>
      </c>
      <c r="F66" t="s">
        <v>422</v>
      </c>
    </row>
    <row r="67">
      <c r="A67" t="s">
        <v>358</v>
      </c>
      <c r="B67" t="s">
        <v>500</v>
      </c>
      <c r="C67" t="s">
        <v>452</v>
      </c>
      <c r="D67" t="s">
        <v>451</v>
      </c>
      <c r="E67" t="s">
        <v>475</v>
      </c>
      <c r="F67" t="s">
        <v>422</v>
      </c>
    </row>
    <row r="68">
      <c r="A68" t="s">
        <v>358</v>
      </c>
      <c r="B68" t="s">
        <v>500</v>
      </c>
      <c r="C68" t="s">
        <v>501</v>
      </c>
      <c r="D68" t="s">
        <v>451</v>
      </c>
      <c r="E68" t="s">
        <v>502</v>
      </c>
      <c r="F68" t="s">
        <v>422</v>
      </c>
    </row>
    <row r="69">
      <c r="A69" t="s">
        <v>358</v>
      </c>
      <c r="B69" t="s">
        <v>500</v>
      </c>
      <c r="C69" t="s">
        <v>503</v>
      </c>
      <c r="D69" t="s">
        <v>451</v>
      </c>
      <c r="E69" t="s">
        <v>436</v>
      </c>
      <c r="F69" t="s">
        <v>422</v>
      </c>
    </row>
    <row r="70">
      <c r="A70" t="s">
        <v>358</v>
      </c>
      <c r="B70" t="s">
        <v>500</v>
      </c>
      <c r="C70" t="s">
        <v>504</v>
      </c>
      <c r="D70" t="s">
        <v>451</v>
      </c>
      <c r="E70" t="s">
        <v>416</v>
      </c>
      <c r="F70" t="s">
        <v>422</v>
      </c>
    </row>
    <row r="71">
      <c r="A71" t="s">
        <v>358</v>
      </c>
      <c r="B71" t="s">
        <v>500</v>
      </c>
      <c r="C71" t="s">
        <v>505</v>
      </c>
      <c r="D71" t="s">
        <v>506</v>
      </c>
      <c r="E71" t="s">
        <v>436</v>
      </c>
      <c r="F71" t="s">
        <v>422</v>
      </c>
    </row>
    <row r="72">
      <c r="A72" t="s">
        <v>358</v>
      </c>
      <c r="B72" t="s">
        <v>508</v>
      </c>
      <c r="C72" t="s">
        <v>507</v>
      </c>
      <c r="D72" t="s">
        <v>415</v>
      </c>
      <c r="E72" t="s">
        <v>509</v>
      </c>
      <c r="F72" t="s">
        <v>510</v>
      </c>
    </row>
    <row r="73">
      <c r="A73" t="s">
        <v>358</v>
      </c>
      <c r="B73" t="s">
        <v>508</v>
      </c>
      <c r="C73" t="s">
        <v>511</v>
      </c>
      <c r="D73" t="s">
        <v>432</v>
      </c>
      <c r="E73" t="s">
        <v>416</v>
      </c>
      <c r="F73" t="s">
        <v>422</v>
      </c>
    </row>
    <row r="74">
      <c r="A74" t="s">
        <v>358</v>
      </c>
      <c r="B74" t="s">
        <v>508</v>
      </c>
      <c r="C74" t="s">
        <v>512</v>
      </c>
      <c r="D74" t="s">
        <v>432</v>
      </c>
      <c r="E74" t="s">
        <v>421</v>
      </c>
      <c r="F74" t="s">
        <v>422</v>
      </c>
    </row>
    <row r="75">
      <c r="A75" t="s">
        <v>358</v>
      </c>
      <c r="B75" t="s">
        <v>508</v>
      </c>
      <c r="C75" t="s">
        <v>513</v>
      </c>
      <c r="D75" t="s">
        <v>432</v>
      </c>
      <c r="E75" t="s">
        <v>416</v>
      </c>
      <c r="F75" t="s">
        <v>422</v>
      </c>
    </row>
    <row r="76">
      <c r="A76" t="s">
        <v>358</v>
      </c>
      <c r="B76" t="s">
        <v>514</v>
      </c>
      <c r="C76" t="s">
        <v>418</v>
      </c>
      <c r="D76" t="s">
        <v>420</v>
      </c>
      <c r="E76" t="s">
        <v>515</v>
      </c>
      <c r="F76" t="s">
        <v>422</v>
      </c>
    </row>
    <row r="77">
      <c r="A77" t="s">
        <v>358</v>
      </c>
      <c r="B77" t="s">
        <v>514</v>
      </c>
      <c r="C77" t="s">
        <v>423</v>
      </c>
      <c r="D77" t="s">
        <v>420</v>
      </c>
      <c r="E77" t="s">
        <v>462</v>
      </c>
      <c r="F77" t="s">
        <v>422</v>
      </c>
    </row>
    <row r="78">
      <c r="A78" t="s">
        <v>358</v>
      </c>
      <c r="B78" t="s">
        <v>514</v>
      </c>
      <c r="C78" t="s">
        <v>439</v>
      </c>
      <c r="D78" t="s">
        <v>438</v>
      </c>
      <c r="E78" t="s">
        <v>472</v>
      </c>
      <c r="F78" t="s">
        <v>422</v>
      </c>
    </row>
    <row r="79">
      <c r="A79" t="s">
        <v>358</v>
      </c>
      <c r="B79" t="s">
        <v>517</v>
      </c>
      <c r="C79" t="s">
        <v>516</v>
      </c>
      <c r="D79" t="s">
        <v>518</v>
      </c>
      <c r="E79" t="s">
        <v>421</v>
      </c>
      <c r="F79" t="s">
        <v>422</v>
      </c>
    </row>
    <row r="80">
      <c r="A80" t="s">
        <v>358</v>
      </c>
      <c r="B80" t="s">
        <v>517</v>
      </c>
      <c r="C80" t="s">
        <v>519</v>
      </c>
      <c r="D80" t="s">
        <v>518</v>
      </c>
      <c r="E80" t="s">
        <v>421</v>
      </c>
      <c r="F80" t="s">
        <v>422</v>
      </c>
    </row>
    <row r="81">
      <c r="A81" t="s">
        <v>358</v>
      </c>
      <c r="B81" t="s">
        <v>517</v>
      </c>
      <c r="C81" t="s">
        <v>520</v>
      </c>
      <c r="D81" t="s">
        <v>415</v>
      </c>
      <c r="E81" t="s">
        <v>421</v>
      </c>
      <c r="F81" t="s">
        <v>422</v>
      </c>
    </row>
    <row r="82">
      <c r="A82" t="s">
        <v>358</v>
      </c>
      <c r="B82" t="s">
        <v>517</v>
      </c>
      <c r="C82" t="s">
        <v>520</v>
      </c>
      <c r="D82" t="s">
        <v>415</v>
      </c>
      <c r="E82" t="s">
        <v>421</v>
      </c>
      <c r="F82" t="s">
        <v>487</v>
      </c>
    </row>
    <row r="83">
      <c r="A83" t="s">
        <v>358</v>
      </c>
      <c r="B83" t="s">
        <v>517</v>
      </c>
      <c r="C83" t="s">
        <v>521</v>
      </c>
      <c r="D83" t="s">
        <v>415</v>
      </c>
      <c r="E83" t="s">
        <v>522</v>
      </c>
      <c r="F83" t="s">
        <v>523</v>
      </c>
    </row>
    <row r="84">
      <c r="A84" t="s">
        <v>358</v>
      </c>
      <c r="B84" t="s">
        <v>517</v>
      </c>
      <c r="C84" t="s">
        <v>524</v>
      </c>
      <c r="D84" t="s">
        <v>415</v>
      </c>
      <c r="E84" t="s">
        <v>421</v>
      </c>
      <c r="F84" t="s">
        <v>525</v>
      </c>
    </row>
    <row r="85">
      <c r="A85" t="s">
        <v>358</v>
      </c>
      <c r="B85" t="s">
        <v>517</v>
      </c>
      <c r="C85" t="s">
        <v>526</v>
      </c>
      <c r="D85" t="s">
        <v>415</v>
      </c>
      <c r="E85" t="s">
        <v>527</v>
      </c>
      <c r="F85" t="s">
        <v>528</v>
      </c>
    </row>
    <row r="86">
      <c r="A86" t="s">
        <v>358</v>
      </c>
      <c r="B86" t="s">
        <v>517</v>
      </c>
      <c r="C86" t="s">
        <v>529</v>
      </c>
      <c r="D86" t="s">
        <v>415</v>
      </c>
      <c r="E86" t="s">
        <v>421</v>
      </c>
      <c r="F86" t="s">
        <v>530</v>
      </c>
    </row>
    <row r="87">
      <c r="A87" t="s">
        <v>358</v>
      </c>
      <c r="B87" t="s">
        <v>517</v>
      </c>
      <c r="C87" t="s">
        <v>529</v>
      </c>
      <c r="D87" t="s">
        <v>415</v>
      </c>
      <c r="E87" t="s">
        <v>421</v>
      </c>
      <c r="F87" t="s">
        <v>531</v>
      </c>
    </row>
    <row r="88">
      <c r="A88" t="s">
        <v>358</v>
      </c>
      <c r="B88" t="s">
        <v>532</v>
      </c>
      <c r="C88" t="s">
        <v>423</v>
      </c>
      <c r="D88" t="s">
        <v>420</v>
      </c>
      <c r="E88" t="s">
        <v>472</v>
      </c>
      <c r="F88" t="s">
        <v>422</v>
      </c>
    </row>
    <row r="89">
      <c r="A89" t="s">
        <v>358</v>
      </c>
      <c r="B89" t="s">
        <v>533</v>
      </c>
      <c r="C89" t="s">
        <v>418</v>
      </c>
      <c r="D89" t="s">
        <v>420</v>
      </c>
      <c r="E89" t="s">
        <v>534</v>
      </c>
      <c r="F89" t="s">
        <v>422</v>
      </c>
    </row>
    <row r="90">
      <c r="A90" t="s">
        <v>358</v>
      </c>
      <c r="B90" t="s">
        <v>533</v>
      </c>
      <c r="C90" t="s">
        <v>423</v>
      </c>
      <c r="D90" t="s">
        <v>420</v>
      </c>
      <c r="E90" t="s">
        <v>475</v>
      </c>
      <c r="F90" t="s">
        <v>422</v>
      </c>
    </row>
    <row r="91">
      <c r="A91" t="s">
        <v>358</v>
      </c>
      <c r="B91" t="s">
        <v>536</v>
      </c>
      <c r="C91" t="s">
        <v>535</v>
      </c>
      <c r="D91" t="s">
        <v>518</v>
      </c>
      <c r="E91" t="s">
        <v>421</v>
      </c>
      <c r="F91" t="s">
        <v>422</v>
      </c>
    </row>
    <row r="92">
      <c r="A92" t="s">
        <v>358</v>
      </c>
      <c r="B92" t="s">
        <v>536</v>
      </c>
      <c r="C92" t="s">
        <v>537</v>
      </c>
      <c r="D92" t="s">
        <v>518</v>
      </c>
      <c r="E92" t="s">
        <v>421</v>
      </c>
      <c r="F92" t="s">
        <v>422</v>
      </c>
    </row>
    <row r="93">
      <c r="A93" t="s">
        <v>358</v>
      </c>
      <c r="B93" t="s">
        <v>536</v>
      </c>
      <c r="C93" t="s">
        <v>538</v>
      </c>
      <c r="D93" t="s">
        <v>518</v>
      </c>
      <c r="E93" t="s">
        <v>421</v>
      </c>
      <c r="F93" t="s">
        <v>422</v>
      </c>
    </row>
    <row r="94">
      <c r="A94" t="s">
        <v>358</v>
      </c>
      <c r="B94" t="s">
        <v>536</v>
      </c>
      <c r="C94" t="s">
        <v>539</v>
      </c>
      <c r="D94" t="s">
        <v>518</v>
      </c>
      <c r="E94" t="s">
        <v>421</v>
      </c>
      <c r="F94" t="s">
        <v>422</v>
      </c>
    </row>
    <row r="95">
      <c r="A95" t="s">
        <v>358</v>
      </c>
      <c r="B95" t="s">
        <v>536</v>
      </c>
      <c r="C95" t="s">
        <v>540</v>
      </c>
      <c r="D95" t="s">
        <v>415</v>
      </c>
      <c r="E95" t="s">
        <v>421</v>
      </c>
      <c r="F95" t="s">
        <v>422</v>
      </c>
    </row>
    <row r="96">
      <c r="A96" t="s">
        <v>358</v>
      </c>
      <c r="B96" t="s">
        <v>536</v>
      </c>
      <c r="C96" t="s">
        <v>520</v>
      </c>
      <c r="D96" t="s">
        <v>415</v>
      </c>
      <c r="E96" t="s">
        <v>421</v>
      </c>
      <c r="F96" t="s">
        <v>541</v>
      </c>
    </row>
    <row r="97">
      <c r="A97" t="s">
        <v>358</v>
      </c>
      <c r="B97" t="s">
        <v>536</v>
      </c>
      <c r="C97" t="s">
        <v>542</v>
      </c>
      <c r="D97" t="s">
        <v>415</v>
      </c>
      <c r="E97" t="s">
        <v>421</v>
      </c>
      <c r="F97" t="s">
        <v>543</v>
      </c>
    </row>
    <row r="98">
      <c r="A98" t="s">
        <v>358</v>
      </c>
      <c r="B98" t="s">
        <v>536</v>
      </c>
      <c r="C98" t="s">
        <v>542</v>
      </c>
      <c r="D98" t="s">
        <v>415</v>
      </c>
      <c r="E98" t="s">
        <v>421</v>
      </c>
      <c r="F98" t="s">
        <v>544</v>
      </c>
    </row>
    <row r="99">
      <c r="A99" t="s">
        <v>358</v>
      </c>
      <c r="B99" t="s">
        <v>536</v>
      </c>
      <c r="C99" t="s">
        <v>521</v>
      </c>
      <c r="D99" t="s">
        <v>415</v>
      </c>
      <c r="E99" t="s">
        <v>545</v>
      </c>
      <c r="F99" t="s">
        <v>546</v>
      </c>
    </row>
    <row r="100">
      <c r="A100" t="s">
        <v>358</v>
      </c>
      <c r="B100" t="s">
        <v>536</v>
      </c>
      <c r="C100" t="s">
        <v>547</v>
      </c>
      <c r="D100" t="s">
        <v>548</v>
      </c>
      <c r="E100" t="s">
        <v>421</v>
      </c>
      <c r="F100" t="s">
        <v>422</v>
      </c>
    </row>
    <row r="101">
      <c r="A101" t="s">
        <v>358</v>
      </c>
      <c r="B101" t="s">
        <v>536</v>
      </c>
      <c r="C101" t="s">
        <v>549</v>
      </c>
      <c r="D101" t="s">
        <v>548</v>
      </c>
      <c r="E101" t="s">
        <v>421</v>
      </c>
      <c r="F101" t="s">
        <v>422</v>
      </c>
    </row>
    <row r="102">
      <c r="A102" t="s">
        <v>358</v>
      </c>
      <c r="B102" t="s">
        <v>536</v>
      </c>
      <c r="C102" t="s">
        <v>550</v>
      </c>
      <c r="D102" t="s">
        <v>548</v>
      </c>
      <c r="E102" t="s">
        <v>421</v>
      </c>
      <c r="F102" t="s">
        <v>422</v>
      </c>
    </row>
    <row r="103">
      <c r="A103" t="s">
        <v>358</v>
      </c>
      <c r="B103" t="s">
        <v>536</v>
      </c>
      <c r="C103" t="s">
        <v>551</v>
      </c>
      <c r="D103" t="s">
        <v>548</v>
      </c>
      <c r="E103" t="s">
        <v>421</v>
      </c>
      <c r="F103" t="s">
        <v>422</v>
      </c>
    </row>
    <row r="104">
      <c r="A104" t="s">
        <v>358</v>
      </c>
      <c r="B104" t="s">
        <v>536</v>
      </c>
      <c r="C104" t="s">
        <v>552</v>
      </c>
      <c r="D104" t="s">
        <v>548</v>
      </c>
      <c r="E104" t="s">
        <v>421</v>
      </c>
      <c r="F104" t="s">
        <v>422</v>
      </c>
    </row>
    <row r="105">
      <c r="A105" t="s">
        <v>358</v>
      </c>
      <c r="B105" t="s">
        <v>536</v>
      </c>
      <c r="C105" t="s">
        <v>553</v>
      </c>
      <c r="D105" t="s">
        <v>548</v>
      </c>
      <c r="E105" t="s">
        <v>421</v>
      </c>
      <c r="F105" t="s">
        <v>422</v>
      </c>
    </row>
    <row r="106">
      <c r="A106" t="s">
        <v>358</v>
      </c>
      <c r="B106" t="s">
        <v>536</v>
      </c>
      <c r="C106" t="s">
        <v>554</v>
      </c>
      <c r="D106" t="s">
        <v>415</v>
      </c>
      <c r="E106" t="s">
        <v>555</v>
      </c>
      <c r="F106" t="s">
        <v>556</v>
      </c>
    </row>
    <row r="107">
      <c r="A107" t="s">
        <v>358</v>
      </c>
      <c r="B107" t="s">
        <v>536</v>
      </c>
      <c r="C107" t="s">
        <v>557</v>
      </c>
      <c r="D107" t="s">
        <v>548</v>
      </c>
      <c r="E107" t="s">
        <v>421</v>
      </c>
      <c r="F107" t="s">
        <v>422</v>
      </c>
    </row>
    <row r="108">
      <c r="A108" t="s">
        <v>358</v>
      </c>
      <c r="B108" t="s">
        <v>536</v>
      </c>
      <c r="C108" t="s">
        <v>558</v>
      </c>
      <c r="D108" t="s">
        <v>548</v>
      </c>
      <c r="E108" t="s">
        <v>421</v>
      </c>
      <c r="F108" t="s">
        <v>422</v>
      </c>
    </row>
    <row r="109">
      <c r="A109" t="s">
        <v>358</v>
      </c>
      <c r="B109" t="s">
        <v>536</v>
      </c>
      <c r="C109" t="s">
        <v>559</v>
      </c>
      <c r="D109" t="s">
        <v>548</v>
      </c>
      <c r="E109" t="s">
        <v>421</v>
      </c>
      <c r="F109" t="s">
        <v>422</v>
      </c>
    </row>
    <row r="110">
      <c r="A110" t="s">
        <v>358</v>
      </c>
      <c r="B110" t="s">
        <v>536</v>
      </c>
      <c r="C110" t="s">
        <v>560</v>
      </c>
      <c r="D110" t="s">
        <v>415</v>
      </c>
      <c r="E110" t="s">
        <v>421</v>
      </c>
      <c r="F110" t="s">
        <v>561</v>
      </c>
    </row>
    <row r="111">
      <c r="A111" t="s">
        <v>358</v>
      </c>
      <c r="B111" t="s">
        <v>536</v>
      </c>
      <c r="C111" t="s">
        <v>560</v>
      </c>
      <c r="D111" t="s">
        <v>415</v>
      </c>
      <c r="E111" t="s">
        <v>421</v>
      </c>
      <c r="F111" t="s">
        <v>562</v>
      </c>
    </row>
    <row r="112">
      <c r="A112" t="s">
        <v>358</v>
      </c>
      <c r="B112" t="s">
        <v>536</v>
      </c>
      <c r="C112" t="s">
        <v>563</v>
      </c>
      <c r="D112" t="s">
        <v>548</v>
      </c>
      <c r="E112" t="s">
        <v>421</v>
      </c>
      <c r="F112" t="s">
        <v>422</v>
      </c>
    </row>
    <row r="113">
      <c r="A113" t="s">
        <v>358</v>
      </c>
      <c r="B113" t="s">
        <v>536</v>
      </c>
      <c r="C113" t="s">
        <v>564</v>
      </c>
      <c r="D113" t="s">
        <v>548</v>
      </c>
      <c r="E113" t="s">
        <v>421</v>
      </c>
      <c r="F113" t="s">
        <v>422</v>
      </c>
    </row>
    <row r="114">
      <c r="A114" t="s">
        <v>358</v>
      </c>
      <c r="B114" t="s">
        <v>536</v>
      </c>
      <c r="C114" t="s">
        <v>565</v>
      </c>
      <c r="D114" t="s">
        <v>415</v>
      </c>
      <c r="E114" t="s">
        <v>421</v>
      </c>
      <c r="F114" t="s">
        <v>543</v>
      </c>
    </row>
    <row r="115">
      <c r="A115" t="s">
        <v>358</v>
      </c>
      <c r="B115" t="s">
        <v>536</v>
      </c>
      <c r="C115" t="s">
        <v>565</v>
      </c>
      <c r="D115" t="s">
        <v>415</v>
      </c>
      <c r="E115" t="s">
        <v>421</v>
      </c>
      <c r="F115" t="s">
        <v>544</v>
      </c>
    </row>
    <row r="116">
      <c r="A116" t="s">
        <v>358</v>
      </c>
      <c r="B116" t="s">
        <v>567</v>
      </c>
      <c r="C116" t="s">
        <v>566</v>
      </c>
      <c r="D116" t="s">
        <v>518</v>
      </c>
      <c r="E116" t="s">
        <v>568</v>
      </c>
      <c r="F116" t="s">
        <v>569</v>
      </c>
    </row>
    <row r="117">
      <c r="A117" t="s">
        <v>358</v>
      </c>
      <c r="B117" t="s">
        <v>570</v>
      </c>
      <c r="C117" t="s">
        <v>452</v>
      </c>
      <c r="D117" t="s">
        <v>451</v>
      </c>
      <c r="E117" t="s">
        <v>515</v>
      </c>
      <c r="F117" t="s">
        <v>422</v>
      </c>
    </row>
    <row r="118">
      <c r="A118" t="s">
        <v>358</v>
      </c>
      <c r="B118" t="s">
        <v>571</v>
      </c>
      <c r="C118" t="s">
        <v>452</v>
      </c>
      <c r="D118" t="s">
        <v>451</v>
      </c>
      <c r="E118" t="s">
        <v>534</v>
      </c>
      <c r="F118" t="s">
        <v>422</v>
      </c>
    </row>
    <row r="119">
      <c r="A119" t="s">
        <v>358</v>
      </c>
      <c r="B119" t="s">
        <v>571</v>
      </c>
      <c r="C119" t="s">
        <v>418</v>
      </c>
      <c r="D119" t="s">
        <v>420</v>
      </c>
      <c r="E119" t="s">
        <v>572</v>
      </c>
      <c r="F119" t="s">
        <v>422</v>
      </c>
    </row>
    <row r="120">
      <c r="A120" t="s">
        <v>358</v>
      </c>
      <c r="B120" t="s">
        <v>571</v>
      </c>
      <c r="C120" t="s">
        <v>423</v>
      </c>
      <c r="D120" t="s">
        <v>420</v>
      </c>
      <c r="E120" t="s">
        <v>515</v>
      </c>
      <c r="F120" t="s">
        <v>422</v>
      </c>
    </row>
    <row r="121">
      <c r="A121" t="s">
        <v>358</v>
      </c>
      <c r="B121" t="s">
        <v>574</v>
      </c>
      <c r="C121" t="s">
        <v>573</v>
      </c>
      <c r="D121" t="s">
        <v>575</v>
      </c>
      <c r="E121" t="s">
        <v>421</v>
      </c>
      <c r="F121" t="s">
        <v>422</v>
      </c>
    </row>
    <row r="122">
      <c r="A122" t="s">
        <v>358</v>
      </c>
      <c r="B122" t="s">
        <v>574</v>
      </c>
      <c r="C122" t="s">
        <v>576</v>
      </c>
      <c r="D122" t="s">
        <v>575</v>
      </c>
      <c r="E122" t="s">
        <v>421</v>
      </c>
      <c r="F122" t="s">
        <v>422</v>
      </c>
    </row>
    <row r="123">
      <c r="A123" t="s">
        <v>358</v>
      </c>
      <c r="B123" t="s">
        <v>574</v>
      </c>
      <c r="C123" t="s">
        <v>577</v>
      </c>
      <c r="D123" t="s">
        <v>575</v>
      </c>
      <c r="E123" t="s">
        <v>421</v>
      </c>
      <c r="F123" t="s">
        <v>422</v>
      </c>
    </row>
    <row r="124">
      <c r="A124" t="s">
        <v>358</v>
      </c>
      <c r="B124" t="s">
        <v>574</v>
      </c>
      <c r="C124" t="s">
        <v>578</v>
      </c>
      <c r="D124" t="s">
        <v>575</v>
      </c>
      <c r="E124" t="s">
        <v>421</v>
      </c>
      <c r="F124" t="s">
        <v>422</v>
      </c>
    </row>
    <row r="125">
      <c r="A125" t="s">
        <v>358</v>
      </c>
      <c r="B125" t="s">
        <v>574</v>
      </c>
      <c r="C125" t="s">
        <v>579</v>
      </c>
      <c r="D125" t="s">
        <v>575</v>
      </c>
      <c r="E125" t="s">
        <v>421</v>
      </c>
      <c r="F125" t="s">
        <v>422</v>
      </c>
    </row>
    <row r="126">
      <c r="A126" t="s">
        <v>358</v>
      </c>
      <c r="B126" t="s">
        <v>574</v>
      </c>
      <c r="C126" t="s">
        <v>580</v>
      </c>
      <c r="D126" t="s">
        <v>575</v>
      </c>
      <c r="E126" t="s">
        <v>421</v>
      </c>
      <c r="F126" t="s">
        <v>422</v>
      </c>
    </row>
    <row r="127">
      <c r="A127" t="s">
        <v>358</v>
      </c>
      <c r="B127" t="s">
        <v>574</v>
      </c>
      <c r="C127" t="s">
        <v>581</v>
      </c>
      <c r="D127" t="s">
        <v>415</v>
      </c>
      <c r="E127" t="s">
        <v>582</v>
      </c>
      <c r="F127" t="s">
        <v>583</v>
      </c>
    </row>
    <row r="128">
      <c r="A128" t="s">
        <v>358</v>
      </c>
      <c r="B128" t="s">
        <v>585</v>
      </c>
      <c r="C128" t="s">
        <v>584</v>
      </c>
      <c r="D128" t="s">
        <v>415</v>
      </c>
      <c r="E128" t="s">
        <v>586</v>
      </c>
      <c r="F128" t="s">
        <v>587</v>
      </c>
    </row>
    <row r="129">
      <c r="A129" t="s">
        <v>358</v>
      </c>
      <c r="B129" t="s">
        <v>585</v>
      </c>
      <c r="C129" t="s">
        <v>588</v>
      </c>
      <c r="D129" t="s">
        <v>589</v>
      </c>
      <c r="E129" t="s">
        <v>421</v>
      </c>
      <c r="F129" t="s">
        <v>422</v>
      </c>
    </row>
    <row r="130">
      <c r="A130" t="s">
        <v>358</v>
      </c>
      <c r="B130" t="s">
        <v>591</v>
      </c>
      <c r="C130" t="s">
        <v>590</v>
      </c>
      <c r="D130" t="s">
        <v>589</v>
      </c>
      <c r="E130" t="s">
        <v>592</v>
      </c>
      <c r="F130" t="s">
        <v>593</v>
      </c>
    </row>
    <row r="131">
      <c r="A131" t="s">
        <v>358</v>
      </c>
      <c r="B131" t="s">
        <v>594</v>
      </c>
      <c r="C131" t="s">
        <v>580</v>
      </c>
      <c r="D131" t="s">
        <v>575</v>
      </c>
      <c r="E131" t="s">
        <v>421</v>
      </c>
      <c r="F131" t="s">
        <v>487</v>
      </c>
    </row>
    <row r="132">
      <c r="A132" t="s">
        <v>358</v>
      </c>
      <c r="B132" t="s">
        <v>594</v>
      </c>
      <c r="C132" t="s">
        <v>595</v>
      </c>
      <c r="D132" t="s">
        <v>415</v>
      </c>
      <c r="E132" t="s">
        <v>596</v>
      </c>
      <c r="F132" t="s">
        <v>597</v>
      </c>
    </row>
    <row r="133">
      <c r="A133" t="s">
        <v>358</v>
      </c>
      <c r="B133" t="s">
        <v>598</v>
      </c>
      <c r="C133" t="s">
        <v>588</v>
      </c>
      <c r="D133" t="s">
        <v>589</v>
      </c>
      <c r="E133" t="s">
        <v>416</v>
      </c>
      <c r="F133" t="s">
        <v>422</v>
      </c>
    </row>
    <row r="134">
      <c r="A134" t="s">
        <v>358</v>
      </c>
      <c r="B134" t="s">
        <v>599</v>
      </c>
      <c r="C134" t="s">
        <v>452</v>
      </c>
      <c r="D134" t="s">
        <v>451</v>
      </c>
      <c r="E134" t="s">
        <v>572</v>
      </c>
      <c r="F134" t="s">
        <v>422</v>
      </c>
    </row>
    <row r="135">
      <c r="A135" t="s">
        <v>358</v>
      </c>
      <c r="B135" t="s">
        <v>600</v>
      </c>
      <c r="C135" t="s">
        <v>452</v>
      </c>
      <c r="D135" t="s">
        <v>451</v>
      </c>
      <c r="E135" t="s">
        <v>601</v>
      </c>
      <c r="F135" t="s">
        <v>422</v>
      </c>
    </row>
    <row r="136">
      <c r="A136" t="s">
        <v>358</v>
      </c>
      <c r="B136" t="s">
        <v>602</v>
      </c>
      <c r="C136" t="s">
        <v>440</v>
      </c>
      <c r="D136" t="s">
        <v>432</v>
      </c>
      <c r="E136" t="s">
        <v>603</v>
      </c>
      <c r="F136" t="s">
        <v>422</v>
      </c>
    </row>
    <row r="137">
      <c r="A137" t="s">
        <v>358</v>
      </c>
      <c r="B137" t="s">
        <v>602</v>
      </c>
      <c r="C137" t="s">
        <v>431</v>
      </c>
      <c r="D137" t="s">
        <v>432</v>
      </c>
      <c r="E137" t="s">
        <v>604</v>
      </c>
      <c r="F137" t="s">
        <v>422</v>
      </c>
    </row>
    <row r="138">
      <c r="A138" t="s">
        <v>358</v>
      </c>
      <c r="B138" t="s">
        <v>605</v>
      </c>
      <c r="C138" t="s">
        <v>580</v>
      </c>
      <c r="D138" t="s">
        <v>575</v>
      </c>
      <c r="E138" t="s">
        <v>416</v>
      </c>
      <c r="F138" t="s">
        <v>487</v>
      </c>
    </row>
    <row r="139">
      <c r="A139" t="s">
        <v>358</v>
      </c>
      <c r="B139" t="s">
        <v>606</v>
      </c>
      <c r="C139" t="s">
        <v>492</v>
      </c>
      <c r="D139" t="s">
        <v>432</v>
      </c>
      <c r="E139" t="s">
        <v>416</v>
      </c>
      <c r="F139" t="s">
        <v>422</v>
      </c>
    </row>
    <row r="140">
      <c r="A140" t="s">
        <v>358</v>
      </c>
      <c r="B140" t="s">
        <v>606</v>
      </c>
      <c r="C140" t="s">
        <v>494</v>
      </c>
      <c r="D140" t="s">
        <v>432</v>
      </c>
      <c r="E140" t="s">
        <v>416</v>
      </c>
      <c r="F140" t="s">
        <v>422</v>
      </c>
    </row>
    <row r="141">
      <c r="A141" t="s">
        <v>358</v>
      </c>
      <c r="B141" t="s">
        <v>606</v>
      </c>
      <c r="C141" t="s">
        <v>511</v>
      </c>
      <c r="D141" t="s">
        <v>432</v>
      </c>
      <c r="E141" t="s">
        <v>436</v>
      </c>
      <c r="F141" t="s">
        <v>422</v>
      </c>
    </row>
    <row r="142">
      <c r="A142" t="s">
        <v>358</v>
      </c>
      <c r="B142" t="s">
        <v>606</v>
      </c>
      <c r="C142" t="s">
        <v>512</v>
      </c>
      <c r="D142" t="s">
        <v>432</v>
      </c>
      <c r="E142" t="s">
        <v>416</v>
      </c>
      <c r="F142" t="s">
        <v>422</v>
      </c>
    </row>
    <row r="143">
      <c r="A143" t="s">
        <v>358</v>
      </c>
      <c r="B143" t="s">
        <v>606</v>
      </c>
      <c r="C143" t="s">
        <v>486</v>
      </c>
      <c r="D143" t="s">
        <v>432</v>
      </c>
      <c r="E143" t="s">
        <v>462</v>
      </c>
      <c r="F143" t="s">
        <v>422</v>
      </c>
    </row>
    <row r="144">
      <c r="A144" t="s">
        <v>358</v>
      </c>
      <c r="B144" t="s">
        <v>606</v>
      </c>
      <c r="C144" t="s">
        <v>513</v>
      </c>
      <c r="D144" t="s">
        <v>432</v>
      </c>
      <c r="E144" t="s">
        <v>436</v>
      </c>
      <c r="F144" t="s">
        <v>422</v>
      </c>
    </row>
    <row r="145">
      <c r="A145" t="s">
        <v>358</v>
      </c>
      <c r="B145" t="s">
        <v>607</v>
      </c>
      <c r="C145" t="s">
        <v>431</v>
      </c>
      <c r="D145" t="s">
        <v>432</v>
      </c>
      <c r="E145" t="s">
        <v>608</v>
      </c>
      <c r="F145" t="s">
        <v>422</v>
      </c>
    </row>
    <row r="146">
      <c r="A146" t="s">
        <v>358</v>
      </c>
      <c r="B146" t="s">
        <v>609</v>
      </c>
      <c r="C146" t="s">
        <v>580</v>
      </c>
      <c r="D146" t="s">
        <v>575</v>
      </c>
      <c r="E146" t="s">
        <v>436</v>
      </c>
      <c r="F146" t="s">
        <v>487</v>
      </c>
    </row>
    <row r="147">
      <c r="A147" t="s">
        <v>358</v>
      </c>
      <c r="B147" t="s">
        <v>610</v>
      </c>
      <c r="C147" t="s">
        <v>418</v>
      </c>
      <c r="D147" t="s">
        <v>420</v>
      </c>
      <c r="E147" t="s">
        <v>601</v>
      </c>
      <c r="F147" t="s">
        <v>422</v>
      </c>
    </row>
    <row r="148">
      <c r="A148" t="s">
        <v>358</v>
      </c>
      <c r="B148" t="s">
        <v>610</v>
      </c>
      <c r="C148" t="s">
        <v>423</v>
      </c>
      <c r="D148" t="s">
        <v>420</v>
      </c>
      <c r="E148" t="s">
        <v>534</v>
      </c>
      <c r="F148" t="s">
        <v>422</v>
      </c>
    </row>
    <row r="149">
      <c r="A149" t="s">
        <v>358</v>
      </c>
      <c r="B149" t="s">
        <v>611</v>
      </c>
      <c r="C149" t="s">
        <v>423</v>
      </c>
      <c r="D149" t="s">
        <v>420</v>
      </c>
      <c r="E149" t="s">
        <v>572</v>
      </c>
      <c r="F149" t="s">
        <v>422</v>
      </c>
    </row>
    <row r="150">
      <c r="A150" t="s">
        <v>358</v>
      </c>
      <c r="B150" t="s">
        <v>612</v>
      </c>
      <c r="C150" t="s">
        <v>423</v>
      </c>
      <c r="D150" t="s">
        <v>420</v>
      </c>
      <c r="E150" t="s">
        <v>601</v>
      </c>
      <c r="F150" t="s">
        <v>422</v>
      </c>
    </row>
    <row r="151">
      <c r="A151" t="s">
        <v>358</v>
      </c>
      <c r="B151" t="s">
        <v>614</v>
      </c>
      <c r="C151" t="s">
        <v>613</v>
      </c>
      <c r="D151" t="s">
        <v>451</v>
      </c>
      <c r="E151" t="s">
        <v>475</v>
      </c>
      <c r="F151" t="s">
        <v>422</v>
      </c>
    </row>
    <row r="152">
      <c r="A152" t="s">
        <v>358</v>
      </c>
      <c r="B152" t="s">
        <v>615</v>
      </c>
      <c r="C152" t="s">
        <v>418</v>
      </c>
      <c r="D152" t="s">
        <v>420</v>
      </c>
      <c r="E152" t="s">
        <v>616</v>
      </c>
      <c r="F152" t="s">
        <v>422</v>
      </c>
    </row>
    <row r="153">
      <c r="A153" t="s">
        <v>358</v>
      </c>
      <c r="B153" t="s">
        <v>617</v>
      </c>
      <c r="C153" t="s">
        <v>418</v>
      </c>
      <c r="D153" t="s">
        <v>420</v>
      </c>
      <c r="E153" t="s">
        <v>618</v>
      </c>
      <c r="F153" t="s">
        <v>422</v>
      </c>
    </row>
    <row r="154">
      <c r="A154" t="s">
        <v>358</v>
      </c>
      <c r="B154" t="s">
        <v>619</v>
      </c>
      <c r="C154" t="s">
        <v>418</v>
      </c>
      <c r="D154" t="s">
        <v>420</v>
      </c>
      <c r="E154" t="s">
        <v>509</v>
      </c>
      <c r="F154" t="s">
        <v>422</v>
      </c>
    </row>
    <row r="155">
      <c r="A155" t="s">
        <v>358</v>
      </c>
      <c r="B155" t="s">
        <v>620</v>
      </c>
      <c r="C155" t="s">
        <v>613</v>
      </c>
      <c r="D155" t="s">
        <v>451</v>
      </c>
      <c r="E155" t="s">
        <v>515</v>
      </c>
      <c r="F155" t="s">
        <v>422</v>
      </c>
    </row>
    <row r="156">
      <c r="A156" t="s">
        <v>358</v>
      </c>
      <c r="B156" t="s">
        <v>621</v>
      </c>
      <c r="C156" t="s">
        <v>613</v>
      </c>
      <c r="D156" t="s">
        <v>451</v>
      </c>
      <c r="E156" t="s">
        <v>534</v>
      </c>
      <c r="F156" t="s">
        <v>422</v>
      </c>
    </row>
    <row r="157">
      <c r="A157" t="s">
        <v>358</v>
      </c>
      <c r="B157" t="s">
        <v>622</v>
      </c>
      <c r="C157" t="s">
        <v>552</v>
      </c>
      <c r="D157" t="s">
        <v>548</v>
      </c>
      <c r="E157" t="s">
        <v>416</v>
      </c>
      <c r="F157" t="s">
        <v>422</v>
      </c>
    </row>
    <row r="158">
      <c r="A158" t="s">
        <v>358</v>
      </c>
      <c r="B158" t="s">
        <v>623</v>
      </c>
      <c r="C158" t="s">
        <v>423</v>
      </c>
      <c r="D158" t="s">
        <v>420</v>
      </c>
      <c r="E158" t="s">
        <v>616</v>
      </c>
      <c r="F158" t="s">
        <v>422</v>
      </c>
    </row>
    <row r="159">
      <c r="A159" t="s">
        <v>358</v>
      </c>
      <c r="B159" t="s">
        <v>624</v>
      </c>
      <c r="C159" t="s">
        <v>452</v>
      </c>
      <c r="D159" t="s">
        <v>451</v>
      </c>
      <c r="E159" t="s">
        <v>616</v>
      </c>
      <c r="F159" t="s">
        <v>422</v>
      </c>
    </row>
    <row r="160">
      <c r="A160" t="s">
        <v>358</v>
      </c>
      <c r="B160" t="s">
        <v>625</v>
      </c>
      <c r="C160" t="s">
        <v>452</v>
      </c>
      <c r="D160" t="s">
        <v>451</v>
      </c>
      <c r="E160" t="s">
        <v>618</v>
      </c>
      <c r="F160" t="s">
        <v>422</v>
      </c>
    </row>
    <row r="161">
      <c r="A161" t="s">
        <v>358</v>
      </c>
      <c r="B161" t="s">
        <v>626</v>
      </c>
      <c r="C161" t="s">
        <v>452</v>
      </c>
      <c r="D161" t="s">
        <v>451</v>
      </c>
      <c r="E161" t="s">
        <v>509</v>
      </c>
      <c r="F161" t="s">
        <v>422</v>
      </c>
    </row>
    <row r="162">
      <c r="A162" t="s">
        <v>358</v>
      </c>
      <c r="B162" t="s">
        <v>627</v>
      </c>
      <c r="C162" t="s">
        <v>452</v>
      </c>
      <c r="D162" t="s">
        <v>451</v>
      </c>
      <c r="E162" t="s">
        <v>628</v>
      </c>
      <c r="F162" t="s">
        <v>422</v>
      </c>
    </row>
    <row r="163">
      <c r="A163" t="s">
        <v>358</v>
      </c>
      <c r="B163" t="s">
        <v>629</v>
      </c>
      <c r="C163" t="s">
        <v>552</v>
      </c>
      <c r="D163" t="s">
        <v>548</v>
      </c>
      <c r="E163" t="s">
        <v>436</v>
      </c>
      <c r="F163" t="s">
        <v>422</v>
      </c>
    </row>
    <row r="164">
      <c r="A164" t="s">
        <v>358</v>
      </c>
      <c r="B164" t="s">
        <v>630</v>
      </c>
      <c r="C164" t="s">
        <v>378</v>
      </c>
      <c r="D164" t="s">
        <v>415</v>
      </c>
      <c r="E164" t="s">
        <v>421</v>
      </c>
      <c r="F164" t="s">
        <v>422</v>
      </c>
    </row>
    <row r="165">
      <c r="A165" t="s">
        <v>358</v>
      </c>
      <c r="B165" t="s">
        <v>632</v>
      </c>
      <c r="C165" t="s">
        <v>631</v>
      </c>
      <c r="D165" t="s">
        <v>415</v>
      </c>
      <c r="E165" t="s">
        <v>633</v>
      </c>
      <c r="F165" t="s">
        <v>422</v>
      </c>
    </row>
    <row r="166">
      <c r="A166" t="s">
        <v>358</v>
      </c>
      <c r="B166" t="s">
        <v>635</v>
      </c>
      <c r="C166" t="s">
        <v>634</v>
      </c>
      <c r="D166" t="s">
        <v>548</v>
      </c>
      <c r="E166" t="s">
        <v>436</v>
      </c>
      <c r="F166" t="s">
        <v>422</v>
      </c>
    </row>
    <row r="167">
      <c r="A167" t="s">
        <v>358</v>
      </c>
      <c r="B167" t="s">
        <v>635</v>
      </c>
      <c r="C167" t="s">
        <v>636</v>
      </c>
      <c r="D167" t="s">
        <v>548</v>
      </c>
      <c r="E167" t="s">
        <v>416</v>
      </c>
      <c r="F167" t="s">
        <v>422</v>
      </c>
    </row>
    <row r="168">
      <c r="A168" t="s">
        <v>358</v>
      </c>
      <c r="B168" t="s">
        <v>635</v>
      </c>
      <c r="C168" t="s">
        <v>637</v>
      </c>
      <c r="D168" t="s">
        <v>548</v>
      </c>
      <c r="E168" t="s">
        <v>416</v>
      </c>
      <c r="F168" t="s">
        <v>422</v>
      </c>
    </row>
    <row r="169">
      <c r="A169" t="s">
        <v>358</v>
      </c>
      <c r="B169" t="s">
        <v>635</v>
      </c>
      <c r="C169" t="s">
        <v>638</v>
      </c>
      <c r="D169" t="s">
        <v>548</v>
      </c>
      <c r="E169" t="s">
        <v>436</v>
      </c>
      <c r="F169" t="s">
        <v>422</v>
      </c>
    </row>
    <row r="170">
      <c r="A170" t="s">
        <v>358</v>
      </c>
      <c r="B170" t="s">
        <v>640</v>
      </c>
      <c r="C170" t="s">
        <v>639</v>
      </c>
      <c r="D170" t="s">
        <v>575</v>
      </c>
      <c r="E170" t="s">
        <v>416</v>
      </c>
      <c r="F170" t="s">
        <v>422</v>
      </c>
    </row>
    <row r="171">
      <c r="A171" t="s">
        <v>358</v>
      </c>
      <c r="B171" t="s">
        <v>640</v>
      </c>
      <c r="C171" t="s">
        <v>641</v>
      </c>
      <c r="D171" t="s">
        <v>575</v>
      </c>
      <c r="E171" t="s">
        <v>416</v>
      </c>
      <c r="F171" t="s">
        <v>422</v>
      </c>
    </row>
    <row r="172">
      <c r="A172" t="s">
        <v>358</v>
      </c>
      <c r="B172" t="s">
        <v>640</v>
      </c>
      <c r="C172" t="s">
        <v>642</v>
      </c>
      <c r="D172" t="s">
        <v>575</v>
      </c>
      <c r="E172" t="s">
        <v>416</v>
      </c>
      <c r="F172" t="s">
        <v>422</v>
      </c>
    </row>
    <row r="173">
      <c r="A173" t="s">
        <v>358</v>
      </c>
      <c r="B173" t="s">
        <v>640</v>
      </c>
      <c r="C173" t="s">
        <v>643</v>
      </c>
      <c r="D173" t="s">
        <v>575</v>
      </c>
      <c r="E173" t="s">
        <v>416</v>
      </c>
      <c r="F173" t="s">
        <v>422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tabSelected="1"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7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81" t="s">
        <v>161</v>
      </c>
      <c r="B1" s="79" t="s">
        <v>356</v>
      </c>
      <c r="C1" s="79" t="s">
        <v>357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7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186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25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25"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25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25"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25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25"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25"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25"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</row>
    <row r="11" spans="1:22" x14ac:dyDescent="0.25"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25"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25"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25"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25"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25"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3:22" x14ac:dyDescent="0.25"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3:22" x14ac:dyDescent="0.25">
      <c r="C18" s="47"/>
      <c r="D18" s="47"/>
      <c r="E18" s="47"/>
      <c r="F18" s="47"/>
      <c r="G18" s="47"/>
      <c r="H18" s="47"/>
      <c r="I18" s="47"/>
      <c r="J18" s="51"/>
      <c r="K18" s="51"/>
      <c r="L18" s="51"/>
      <c r="M18" s="51"/>
      <c r="N18" s="51"/>
      <c r="O18" s="47"/>
      <c r="P18" s="47"/>
      <c r="Q18" s="47"/>
      <c r="R18" s="47"/>
      <c r="S18" s="47"/>
      <c r="T18" s="47"/>
      <c r="U18" s="47"/>
      <c r="V18" s="47"/>
    </row>
    <row r="19" spans="3:22" x14ac:dyDescent="0.25">
      <c r="C19" s="47"/>
      <c r="D19" s="47"/>
      <c r="E19" s="47"/>
      <c r="F19" s="47"/>
      <c r="G19" s="47"/>
      <c r="H19" s="47"/>
      <c r="I19" s="47"/>
      <c r="J19" s="51"/>
      <c r="K19" s="51"/>
      <c r="L19" s="51"/>
      <c r="M19" s="51"/>
      <c r="N19" s="51"/>
      <c r="O19" s="47"/>
      <c r="P19" s="47"/>
      <c r="Q19" s="47"/>
      <c r="R19" s="47"/>
      <c r="S19" s="47"/>
      <c r="T19" s="47"/>
      <c r="U19" s="47"/>
      <c r="V19" s="47"/>
    </row>
    <row r="20" spans="3:22" x14ac:dyDescent="0.25">
      <c r="C20" s="47"/>
      <c r="D20" s="47"/>
      <c r="E20" s="47"/>
      <c r="F20" s="47"/>
      <c r="G20" s="47"/>
      <c r="H20" s="47"/>
      <c r="I20" s="47"/>
      <c r="J20" s="51"/>
      <c r="K20" s="51"/>
      <c r="L20" s="51"/>
      <c r="M20" s="51"/>
      <c r="N20" s="51"/>
      <c r="O20" s="47"/>
      <c r="P20" s="47"/>
      <c r="Q20" s="47"/>
      <c r="R20" s="47"/>
      <c r="S20" s="47"/>
      <c r="T20" s="47"/>
      <c r="U20" s="47"/>
      <c r="V20" s="47"/>
    </row>
    <row r="21" spans="3:22" x14ac:dyDescent="0.25"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3:22" x14ac:dyDescent="0.25"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3:22" x14ac:dyDescent="0.25"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3:22" x14ac:dyDescent="0.25"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3:22" x14ac:dyDescent="0.25"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3:22" x14ac:dyDescent="0.25"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3:22" x14ac:dyDescent="0.25"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3:22" x14ac:dyDescent="0.25"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3:22" x14ac:dyDescent="0.25"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3:22" x14ac:dyDescent="0.25"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3:22" x14ac:dyDescent="0.25"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3:22" x14ac:dyDescent="0.25"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3:22" x14ac:dyDescent="0.25"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3:22" x14ac:dyDescent="0.25"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3:22" x14ac:dyDescent="0.25"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3:22" x14ac:dyDescent="0.25"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3:22" x14ac:dyDescent="0.25"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3:22" x14ac:dyDescent="0.25"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3:22" x14ac:dyDescent="0.25"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3:22" x14ac:dyDescent="0.25"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3:22" x14ac:dyDescent="0.25"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  <row r="42" spans="3:22" x14ac:dyDescent="0.25"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</row>
    <row r="43" spans="3:22" x14ac:dyDescent="0.25"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</row>
    <row r="44" spans="3:22" x14ac:dyDescent="0.25"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</row>
    <row r="45" spans="3:22" x14ac:dyDescent="0.25"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</row>
    <row r="46" spans="3:22" x14ac:dyDescent="0.25"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</row>
    <row r="47" spans="3:22" x14ac:dyDescent="0.25"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</row>
    <row r="48" spans="3:22" x14ac:dyDescent="0.25"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</row>
    <row r="49" spans="3:22" x14ac:dyDescent="0.25"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</row>
    <row r="50" spans="3:22" x14ac:dyDescent="0.25"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</row>
    <row r="51" spans="3:22" x14ac:dyDescent="0.25"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</row>
    <row r="52" spans="3:22" x14ac:dyDescent="0.25"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</row>
    <row r="53" spans="3:22" x14ac:dyDescent="0.25"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</row>
    <row r="54" spans="3:22" x14ac:dyDescent="0.25"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</row>
    <row r="55" spans="3:22" x14ac:dyDescent="0.25"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</row>
    <row r="56" spans="3:22" x14ac:dyDescent="0.25"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</row>
    <row r="57" spans="3:22" x14ac:dyDescent="0.25"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</row>
    <row r="58" spans="3:22" x14ac:dyDescent="0.25"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</row>
    <row r="59" spans="3:22" x14ac:dyDescent="0.25"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</row>
    <row r="60" spans="3:22" x14ac:dyDescent="0.25"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</row>
    <row r="61" spans="3:22" x14ac:dyDescent="0.25"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</row>
    <row r="62" spans="3:22" x14ac:dyDescent="0.25"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</row>
    <row r="63" spans="3:22" x14ac:dyDescent="0.25"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</row>
    <row r="64" spans="3:22" x14ac:dyDescent="0.25"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</row>
    <row r="65" spans="3:22" x14ac:dyDescent="0.25"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</row>
    <row r="66" spans="3:22" x14ac:dyDescent="0.25"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51"/>
      <c r="R66" s="51"/>
      <c r="S66" s="51"/>
      <c r="T66" s="51"/>
      <c r="U66" s="47"/>
      <c r="V66" s="47"/>
    </row>
    <row r="67" spans="3:22" x14ac:dyDescent="0.25"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51"/>
      <c r="R67" s="51"/>
      <c r="S67" s="51"/>
      <c r="T67" s="51"/>
      <c r="U67" s="47"/>
      <c r="V67" s="47"/>
    </row>
    <row r="68" spans="3:22" x14ac:dyDescent="0.25"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</row>
    <row r="69" spans="3:22" x14ac:dyDescent="0.25"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</row>
    <row r="70" spans="3:22" x14ac:dyDescent="0.25"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</row>
    <row r="71" spans="3:22" x14ac:dyDescent="0.25"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</row>
    <row r="72" spans="3:22" x14ac:dyDescent="0.25"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</row>
    <row r="73" spans="3:22" x14ac:dyDescent="0.25"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</row>
    <row r="74" spans="3:22" x14ac:dyDescent="0.25"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51"/>
      <c r="R74" s="51"/>
      <c r="S74" s="51"/>
      <c r="T74" s="51"/>
      <c r="U74" s="47"/>
      <c r="V74" s="47"/>
    </row>
    <row r="75" spans="3:22" x14ac:dyDescent="0.25"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51"/>
      <c r="R75" s="51"/>
      <c r="S75" s="51"/>
      <c r="T75" s="51"/>
      <c r="U75" s="47"/>
      <c r="V75" s="47"/>
    </row>
    <row r="76" spans="3:22" x14ac:dyDescent="0.25"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</row>
    <row r="77" spans="3:22" x14ac:dyDescent="0.25"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</row>
    <row r="78" spans="3:22" x14ac:dyDescent="0.25"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</row>
    <row r="79" spans="3:22" x14ac:dyDescent="0.25"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</row>
    <row r="80" spans="3:22" x14ac:dyDescent="0.25"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</row>
    <row r="81" spans="3:22" x14ac:dyDescent="0.25"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</row>
    <row r="82" spans="3:22" x14ac:dyDescent="0.25"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</row>
    <row r="83" spans="3:22" x14ac:dyDescent="0.25"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</row>
    <row r="84" spans="3:22" x14ac:dyDescent="0.25"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</row>
    <row r="85" spans="3:22" x14ac:dyDescent="0.25"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</row>
    <row r="86" spans="3:22" x14ac:dyDescent="0.25"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</row>
    <row r="87" spans="3:22" x14ac:dyDescent="0.25"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</row>
    <row r="88" spans="3:22" x14ac:dyDescent="0.25"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</row>
    <row r="89" spans="3:22" x14ac:dyDescent="0.25"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</row>
    <row r="90" spans="3:22" x14ac:dyDescent="0.25"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</row>
    <row r="91" spans="3:22" x14ac:dyDescent="0.25"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</row>
    <row r="92" spans="3:22" x14ac:dyDescent="0.25"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</row>
    <row r="93" spans="3:22" x14ac:dyDescent="0.25"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</row>
    <row r="94" spans="3:22" x14ac:dyDescent="0.25"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</row>
    <row r="95" spans="3:22" x14ac:dyDescent="0.25"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</row>
    <row r="96" spans="3:22" x14ac:dyDescent="0.25"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</row>
    <row r="97" spans="3:22" x14ac:dyDescent="0.25"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</row>
    <row r="98" spans="3:22" x14ac:dyDescent="0.25"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</row>
    <row r="99" spans="3:22" x14ac:dyDescent="0.25"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</row>
    <row r="100" spans="3:22" x14ac:dyDescent="0.25"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</row>
    <row r="101" spans="3:22" x14ac:dyDescent="0.25"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</row>
    <row r="102" spans="3:22" x14ac:dyDescent="0.25"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</row>
    <row r="103" spans="3:22" x14ac:dyDescent="0.25"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</row>
    <row r="104" spans="3:22" x14ac:dyDescent="0.25"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</row>
    <row r="105" spans="3:22" x14ac:dyDescent="0.25"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</row>
    <row r="106" spans="3:22" x14ac:dyDescent="0.25"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</row>
    <row r="107" spans="3:22" x14ac:dyDescent="0.25"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</row>
    <row r="108" spans="3:22" x14ac:dyDescent="0.25"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</row>
    <row r="109" spans="3:22" x14ac:dyDescent="0.25"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</row>
    <row r="110" spans="3:22" x14ac:dyDescent="0.25"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</row>
    <row r="111" spans="3:22" x14ac:dyDescent="0.25"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</row>
    <row r="112" spans="3:22" x14ac:dyDescent="0.25"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</row>
    <row r="113" spans="3:22" x14ac:dyDescent="0.25"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</row>
    <row r="114" spans="3:22" x14ac:dyDescent="0.25"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</row>
    <row r="115" spans="3:22" x14ac:dyDescent="0.25"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</row>
    <row r="116" spans="3:22" x14ac:dyDescent="0.25"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</row>
    <row r="117" spans="3:22" x14ac:dyDescent="0.25"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</row>
    <row r="118" spans="3:22" x14ac:dyDescent="0.25"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</row>
    <row r="119" spans="3:22" x14ac:dyDescent="0.25"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</row>
    <row r="120" spans="3:22" x14ac:dyDescent="0.25"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</row>
    <row r="121" spans="3:22" x14ac:dyDescent="0.25"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</row>
    <row r="122" spans="3:22" x14ac:dyDescent="0.25"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</row>
    <row r="123" spans="3:22" x14ac:dyDescent="0.25"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</row>
    <row r="124" spans="3:22" x14ac:dyDescent="0.25"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</row>
    <row r="125" spans="3:22" x14ac:dyDescent="0.25"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</row>
    <row r="126" spans="3:22" x14ac:dyDescent="0.25"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</row>
    <row r="127" spans="3:22" x14ac:dyDescent="0.25"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</row>
    <row r="128" spans="3:22" x14ac:dyDescent="0.25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</row>
    <row r="129" spans="3:22" x14ac:dyDescent="0.25"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</row>
    <row r="130" spans="3:22" x14ac:dyDescent="0.25"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</row>
    <row r="131" spans="3:22" x14ac:dyDescent="0.25"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</row>
    <row r="132" spans="3:22" x14ac:dyDescent="0.25"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</row>
    <row r="133" spans="3:22" x14ac:dyDescent="0.25"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</row>
    <row r="134" spans="3:22" x14ac:dyDescent="0.25"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</row>
    <row r="135" spans="3:22" x14ac:dyDescent="0.25"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</row>
    <row r="136" spans="3:22" x14ac:dyDescent="0.25"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</row>
    <row r="137" spans="3:22" x14ac:dyDescent="0.25"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</row>
    <row r="138" spans="3:22" x14ac:dyDescent="0.25"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</row>
    <row r="139" spans="3:22" x14ac:dyDescent="0.25"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</row>
    <row r="140" spans="3:22" x14ac:dyDescent="0.25"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</row>
    <row r="141" spans="3:22" x14ac:dyDescent="0.25"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</row>
    <row r="142" spans="3:22" x14ac:dyDescent="0.25"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</row>
    <row r="143" spans="3:22" x14ac:dyDescent="0.25"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</row>
    <row r="144" spans="3:22" x14ac:dyDescent="0.25"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</row>
    <row r="145" spans="3:22" x14ac:dyDescent="0.25"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</row>
    <row r="146" spans="3:22" x14ac:dyDescent="0.25"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</row>
    <row r="147" spans="3:22" x14ac:dyDescent="0.25"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</row>
    <row r="148" spans="3:22" x14ac:dyDescent="0.25"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</row>
    <row r="149" spans="3:22" x14ac:dyDescent="0.25"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</row>
    <row r="150" spans="3:22" x14ac:dyDescent="0.25"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</row>
    <row r="151" spans="3:22" x14ac:dyDescent="0.25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</row>
    <row r="152" spans="3:22" x14ac:dyDescent="0.25"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</row>
    <row r="153" spans="3:22" x14ac:dyDescent="0.25"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</row>
    <row r="154" spans="3:22" x14ac:dyDescent="0.25"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</row>
    <row r="155" spans="3:22" x14ac:dyDescent="0.25"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</row>
    <row r="156" spans="3:22" x14ac:dyDescent="0.25"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</row>
    <row r="157" spans="3:22" x14ac:dyDescent="0.25"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</row>
    <row r="158" spans="3:22" x14ac:dyDescent="0.25"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</row>
    <row r="159" spans="3:22" x14ac:dyDescent="0.25"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</row>
    <row r="160" spans="3:22" x14ac:dyDescent="0.25"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</row>
    <row r="161" spans="3:22" x14ac:dyDescent="0.25"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</row>
    <row r="162" spans="3:22" x14ac:dyDescent="0.25"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</row>
    <row r="163" spans="3:22" x14ac:dyDescent="0.25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7"/>
      <c r="S163" s="47"/>
      <c r="T163" s="47"/>
      <c r="U163" s="47"/>
      <c r="V163" s="47"/>
    </row>
    <row r="164" spans="3:22" x14ac:dyDescent="0.25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</row>
    <row r="165" spans="3:22" x14ac:dyDescent="0.25"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</row>
    <row r="166" spans="3:22" x14ac:dyDescent="0.25"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</row>
    <row r="167" spans="3:22" x14ac:dyDescent="0.25"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  <c r="S167" s="47"/>
      <c r="T167" s="47"/>
      <c r="U167" s="47"/>
      <c r="V167" s="47"/>
    </row>
    <row r="168" spans="3:22" x14ac:dyDescent="0.25"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</row>
    <row r="169" spans="3:22" x14ac:dyDescent="0.25"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7"/>
      <c r="S169" s="47"/>
      <c r="T169" s="47"/>
      <c r="U169" s="47"/>
      <c r="V169" s="47"/>
    </row>
    <row r="170" spans="3:22" x14ac:dyDescent="0.25"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  <c r="S170" s="47"/>
      <c r="T170" s="47"/>
      <c r="U170" s="47"/>
      <c r="V170" s="47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7" t="s">
        <v>83</v>
      </c>
      <c r="B1"/>
      <c r="C1" s="97"/>
      <c r="D1" s="97"/>
      <c r="E1" s="97"/>
      <c r="H1" s="97"/>
      <c r="I1" s="97"/>
      <c r="J1" s="97"/>
      <c r="K1" s="97"/>
      <c r="L1" s="97"/>
      <c r="M1" s="97"/>
      <c r="N1" s="97"/>
      <c r="O1" s="97"/>
      <c r="P1" s="97"/>
      <c r="Q1" s="9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191</v>
      </c>
      <c r="D2" s="1" t="s">
        <v>192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7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0" t="s">
        <v>67</v>
      </c>
      <c r="C2" s="50" t="s">
        <v>193</v>
      </c>
      <c r="D2" s="50" t="s">
        <v>68</v>
      </c>
      <c r="E2" s="50" t="s">
        <v>69</v>
      </c>
      <c r="F2" s="50" t="s">
        <v>70</v>
      </c>
    </row>
    <row r="3" spans="1:6" x14ac:dyDescent="0.25">
      <c r="E3" s="51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7" width="48.5703125" collapsed="true"/>
    <col min="2" max="2" bestFit="true" customWidth="true" style="47" width="9.7109375" collapsed="true"/>
    <col min="3" max="3" bestFit="true" customWidth="true" style="47" width="8.5703125" collapsed="true"/>
    <col min="4" max="4" bestFit="true" customWidth="true" style="47" width="15.0" collapsed="true"/>
    <col min="5" max="5" bestFit="true" customWidth="true" style="47" width="8.0" collapsed="true"/>
    <col min="6" max="6" bestFit="true" customWidth="true" style="47" width="39.0" collapsed="true"/>
    <col min="7" max="7" bestFit="true" customWidth="true" style="47" width="17.7109375" collapsed="true"/>
    <col min="8" max="10" bestFit="true" customWidth="true" style="47" width="255.7109375" collapsed="true"/>
    <col min="11" max="11" bestFit="true" customWidth="true" style="47" width="18.28515625" collapsed="true"/>
    <col min="12" max="16384" style="47" width="9.140625" collapsed="true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7"/>
    </row>
    <row r="2" spans="1:12" s="18" customFormat="1" ht="15.75" thickTop="1" x14ac:dyDescent="0.25"/>
    <row r="3" spans="1:12" s="18" customFormat="1" x14ac:dyDescent="0.25"/>
    <row r="4" spans="1:12" s="18" customFormat="1" x14ac:dyDescent="0.25"/>
    <row r="5" spans="1:12" s="18" customFormat="1" x14ac:dyDescent="0.25"/>
    <row r="6" spans="1:12" s="18" customFormat="1" x14ac:dyDescent="0.25"/>
    <row r="7" spans="1:12" s="18" customFormat="1" x14ac:dyDescent="0.25"/>
    <row r="8" spans="1:12" s="18" customFormat="1" x14ac:dyDescent="0.25"/>
    <row r="9" spans="1:12" s="18" customFormat="1" x14ac:dyDescent="0.25"/>
    <row r="10" spans="1:12" s="18" customFormat="1" x14ac:dyDescent="0.25"/>
    <row r="11" spans="1:12" s="18" customFormat="1" x14ac:dyDescent="0.25"/>
    <row r="12" spans="1:12" s="18" customFormat="1" x14ac:dyDescent="0.25"/>
    <row r="13" spans="1:12" s="18" customFormat="1" x14ac:dyDescent="0.25"/>
    <row r="14" spans="1:12" s="18" customFormat="1" x14ac:dyDescent="0.25"/>
    <row r="15" spans="1:12" s="18" customFormat="1" x14ac:dyDescent="0.25"/>
    <row r="16" spans="1:12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bestFit="true" customWidth="true" style="5" width="9.42578125" collapsed="true"/>
    <col min="2" max="2" bestFit="true" customWidth="true" style="5" width="9.28515625" collapsed="true"/>
    <col min="3" max="3" bestFit="true" customWidth="true" style="5" width="10.42578125" collapsed="true"/>
    <col min="4" max="4" customWidth="true" style="5" width="99.85546875" collapsed="true"/>
    <col min="5" max="5" bestFit="true" customWidth="true" style="5" width="8.0" collapsed="true"/>
    <col min="6" max="6" bestFit="true" customWidth="true" style="5" width="10.7109375" collapsed="true"/>
    <col min="7" max="7" bestFit="true" customWidth="true" style="5" width="13.85546875" collapsed="true"/>
    <col min="8" max="8" customWidth="true" style="5" width="12.28515625" collapsed="true"/>
    <col min="9" max="10" bestFit="true" customWidth="true" style="5" width="10.85546875" collapsed="true"/>
    <col min="11" max="16384" style="5" width="9.140625" collapsed="true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187</v>
      </c>
      <c r="B3" s="3" t="s">
        <v>198</v>
      </c>
      <c r="C3" s="3" t="s">
        <v>217</v>
      </c>
      <c r="D3" s="3" t="s">
        <v>211</v>
      </c>
      <c r="E3" s="3"/>
      <c r="F3" s="3"/>
      <c r="G3" s="49" t="s">
        <v>189</v>
      </c>
      <c r="H3" s="49" t="s">
        <v>190</v>
      </c>
      <c r="I3" s="49" t="s">
        <v>194</v>
      </c>
    </row>
    <row r="4" spans="1:9" ht="15.75" thickTop="1" x14ac:dyDescent="0.25">
      <c r="A4" s="3" t="s">
        <v>187</v>
      </c>
      <c r="B4" s="3" t="s">
        <v>199</v>
      </c>
      <c r="C4" s="3" t="s">
        <v>218</v>
      </c>
      <c r="D4" s="3" t="s">
        <v>224</v>
      </c>
      <c r="E4" s="3"/>
      <c r="F4" s="3"/>
    </row>
    <row r="5" spans="1:9" x14ac:dyDescent="0.25">
      <c r="A5" s="3" t="s">
        <v>187</v>
      </c>
      <c r="B5" s="3" t="s">
        <v>200</v>
      </c>
      <c r="C5" s="3" t="s">
        <v>219</v>
      </c>
      <c r="D5" s="3" t="s">
        <v>225</v>
      </c>
      <c r="E5" s="3"/>
      <c r="F5" s="3"/>
    </row>
    <row r="6" spans="1:9" x14ac:dyDescent="0.25">
      <c r="A6" s="3" t="s">
        <v>187</v>
      </c>
      <c r="B6" s="3" t="s">
        <v>201</v>
      </c>
      <c r="C6" s="3" t="s">
        <v>220</v>
      </c>
      <c r="D6" s="3" t="s">
        <v>226</v>
      </c>
      <c r="E6" s="3"/>
      <c r="F6" s="3"/>
    </row>
    <row r="7" spans="1:9" x14ac:dyDescent="0.25">
      <c r="A7" s="3" t="s">
        <v>187</v>
      </c>
      <c r="B7" s="3" t="s">
        <v>172</v>
      </c>
      <c r="C7" s="3" t="s">
        <v>220</v>
      </c>
      <c r="D7" s="3" t="s">
        <v>212</v>
      </c>
      <c r="E7" s="3"/>
      <c r="F7" s="3"/>
    </row>
    <row r="8" spans="1:9" x14ac:dyDescent="0.25">
      <c r="A8" s="3" t="s">
        <v>187</v>
      </c>
      <c r="B8" s="3" t="s">
        <v>202</v>
      </c>
      <c r="C8" s="3" t="s">
        <v>220</v>
      </c>
      <c r="D8" s="3" t="s">
        <v>227</v>
      </c>
      <c r="E8" s="3"/>
      <c r="F8" s="3"/>
    </row>
    <row r="9" spans="1:9" x14ac:dyDescent="0.25">
      <c r="A9" s="3" t="s">
        <v>187</v>
      </c>
      <c r="B9" s="3" t="s">
        <v>201</v>
      </c>
      <c r="C9" s="3" t="s">
        <v>220</v>
      </c>
      <c r="D9" s="3" t="s">
        <v>228</v>
      </c>
      <c r="E9" s="3"/>
      <c r="F9" s="3"/>
    </row>
    <row r="10" spans="1:9" x14ac:dyDescent="0.25">
      <c r="A10" s="3" t="s">
        <v>187</v>
      </c>
      <c r="B10" s="3" t="s">
        <v>172</v>
      </c>
      <c r="C10" s="3" t="s">
        <v>220</v>
      </c>
      <c r="D10" s="3" t="s">
        <v>213</v>
      </c>
      <c r="E10" s="3"/>
      <c r="F10" s="3"/>
    </row>
    <row r="11" spans="1:9" x14ac:dyDescent="0.25">
      <c r="A11" s="3" t="s">
        <v>187</v>
      </c>
      <c r="B11" s="3" t="s">
        <v>203</v>
      </c>
      <c r="C11" s="3" t="s">
        <v>220</v>
      </c>
      <c r="D11" s="3" t="s">
        <v>229</v>
      </c>
      <c r="E11" s="3"/>
      <c r="F11" s="3"/>
    </row>
    <row r="12" spans="1:9" x14ac:dyDescent="0.25">
      <c r="A12" s="3" t="s">
        <v>187</v>
      </c>
      <c r="B12" s="3" t="s">
        <v>204</v>
      </c>
      <c r="C12" s="3" t="s">
        <v>220</v>
      </c>
      <c r="D12" s="3" t="s">
        <v>214</v>
      </c>
      <c r="E12" s="3"/>
      <c r="F12" s="3"/>
    </row>
    <row r="13" spans="1:9" x14ac:dyDescent="0.25">
      <c r="A13" s="3" t="s">
        <v>187</v>
      </c>
      <c r="B13" s="3" t="s">
        <v>172</v>
      </c>
      <c r="C13" s="3" t="s">
        <v>220</v>
      </c>
      <c r="D13" s="3" t="s">
        <v>215</v>
      </c>
      <c r="E13" s="3"/>
      <c r="F13" s="3"/>
    </row>
    <row r="14" spans="1:9" x14ac:dyDescent="0.25">
      <c r="A14" s="3" t="s">
        <v>187</v>
      </c>
      <c r="B14" s="3" t="s">
        <v>205</v>
      </c>
      <c r="C14" s="3" t="s">
        <v>220</v>
      </c>
      <c r="D14" s="3" t="s">
        <v>230</v>
      </c>
      <c r="E14" s="3"/>
      <c r="F14" s="3"/>
    </row>
    <row r="15" spans="1:9" x14ac:dyDescent="0.25">
      <c r="A15" s="3" t="s">
        <v>187</v>
      </c>
      <c r="B15" s="3" t="s">
        <v>206</v>
      </c>
      <c r="C15" s="3" t="s">
        <v>220</v>
      </c>
      <c r="D15" s="3" t="s">
        <v>231</v>
      </c>
      <c r="E15" s="3"/>
      <c r="F15" s="3"/>
    </row>
    <row r="16" spans="1:9" x14ac:dyDescent="0.25">
      <c r="A16" s="3" t="s">
        <v>187</v>
      </c>
      <c r="B16" s="3" t="s">
        <v>173</v>
      </c>
      <c r="C16" s="3" t="s">
        <v>220</v>
      </c>
      <c r="D16" s="3" t="s">
        <v>232</v>
      </c>
      <c r="E16" s="3"/>
      <c r="F16" s="3"/>
    </row>
    <row r="17" spans="1:6" x14ac:dyDescent="0.25">
      <c r="A17" s="3" t="s">
        <v>187</v>
      </c>
      <c r="B17" s="3" t="s">
        <v>173</v>
      </c>
      <c r="C17" s="3" t="s">
        <v>220</v>
      </c>
      <c r="D17" s="3" t="s">
        <v>216</v>
      </c>
      <c r="E17" s="3"/>
      <c r="F17" s="3"/>
    </row>
    <row r="18" spans="1:6" x14ac:dyDescent="0.25">
      <c r="A18" s="3" t="s">
        <v>187</v>
      </c>
      <c r="B18" s="3" t="s">
        <v>207</v>
      </c>
      <c r="C18" s="3" t="s">
        <v>221</v>
      </c>
      <c r="D18" s="3" t="s">
        <v>233</v>
      </c>
      <c r="E18" s="3"/>
      <c r="F18" s="3"/>
    </row>
    <row r="19" spans="1:6" x14ac:dyDescent="0.25">
      <c r="A19" s="3" t="s">
        <v>187</v>
      </c>
      <c r="B19" s="3" t="s">
        <v>175</v>
      </c>
      <c r="C19" s="3" t="s">
        <v>222</v>
      </c>
      <c r="D19" s="3" t="s">
        <v>234</v>
      </c>
      <c r="E19" s="3"/>
      <c r="F19" s="3"/>
    </row>
    <row r="20" spans="1:6" x14ac:dyDescent="0.25">
      <c r="A20" s="3" t="s">
        <v>187</v>
      </c>
      <c r="B20" s="3" t="s">
        <v>175</v>
      </c>
      <c r="C20" s="3" t="s">
        <v>222</v>
      </c>
      <c r="D20" s="3" t="s">
        <v>235</v>
      </c>
      <c r="E20" s="3"/>
      <c r="F20" s="3"/>
    </row>
    <row r="21" spans="1:6" x14ac:dyDescent="0.25">
      <c r="A21" s="3" t="s">
        <v>187</v>
      </c>
      <c r="B21" s="3" t="s">
        <v>175</v>
      </c>
      <c r="C21" s="3" t="s">
        <v>222</v>
      </c>
      <c r="D21" s="3" t="s">
        <v>236</v>
      </c>
      <c r="E21" s="3"/>
      <c r="F21" s="3"/>
    </row>
    <row r="22" spans="1:6" x14ac:dyDescent="0.25">
      <c r="A22" s="3" t="s">
        <v>187</v>
      </c>
      <c r="B22" s="3" t="s">
        <v>175</v>
      </c>
      <c r="C22" s="3" t="s">
        <v>222</v>
      </c>
      <c r="D22" s="3" t="s">
        <v>237</v>
      </c>
      <c r="E22" s="3"/>
      <c r="F22" s="3"/>
    </row>
    <row r="23" spans="1:6" x14ac:dyDescent="0.25">
      <c r="A23" s="3" t="s">
        <v>187</v>
      </c>
      <c r="B23" s="3" t="s">
        <v>175</v>
      </c>
      <c r="C23" s="3" t="s">
        <v>222</v>
      </c>
      <c r="D23" s="3" t="s">
        <v>238</v>
      </c>
      <c r="E23" s="3"/>
      <c r="F23" s="3"/>
    </row>
    <row r="24" spans="1:6" x14ac:dyDescent="0.25">
      <c r="A24" s="3" t="s">
        <v>187</v>
      </c>
      <c r="B24" s="3" t="s">
        <v>175</v>
      </c>
      <c r="C24" s="3" t="s">
        <v>222</v>
      </c>
      <c r="D24" s="3" t="s">
        <v>239</v>
      </c>
      <c r="E24" s="3"/>
      <c r="F24" s="3"/>
    </row>
    <row r="25" spans="1:6" x14ac:dyDescent="0.25">
      <c r="A25" s="3" t="s">
        <v>187</v>
      </c>
      <c r="B25" s="3" t="s">
        <v>175</v>
      </c>
      <c r="C25" s="3" t="s">
        <v>222</v>
      </c>
      <c r="D25" s="3" t="s">
        <v>240</v>
      </c>
      <c r="E25" s="3"/>
      <c r="F25" s="3"/>
    </row>
    <row r="26" spans="1:6" x14ac:dyDescent="0.25">
      <c r="A26" s="3" t="s">
        <v>187</v>
      </c>
      <c r="B26" s="3" t="s">
        <v>175</v>
      </c>
      <c r="C26" s="3" t="s">
        <v>222</v>
      </c>
      <c r="D26" s="3" t="s">
        <v>241</v>
      </c>
      <c r="E26" s="3"/>
      <c r="F26" s="3"/>
    </row>
    <row r="27" spans="1:6" x14ac:dyDescent="0.25">
      <c r="A27" s="3" t="s">
        <v>187</v>
      </c>
      <c r="B27" s="3" t="s">
        <v>175</v>
      </c>
      <c r="C27" s="3" t="s">
        <v>220</v>
      </c>
      <c r="D27" s="3" t="s">
        <v>242</v>
      </c>
      <c r="E27" s="3"/>
      <c r="F27" s="3"/>
    </row>
    <row r="28" spans="1:6" x14ac:dyDescent="0.25">
      <c r="A28" s="3" t="s">
        <v>187</v>
      </c>
      <c r="B28" s="3" t="s">
        <v>205</v>
      </c>
      <c r="C28" s="3" t="s">
        <v>220</v>
      </c>
      <c r="D28" s="3" t="s">
        <v>243</v>
      </c>
      <c r="E28" s="3"/>
      <c r="F28" s="3"/>
    </row>
    <row r="29" spans="1:6" x14ac:dyDescent="0.25">
      <c r="A29" s="3" t="s">
        <v>187</v>
      </c>
      <c r="B29" s="3" t="s">
        <v>205</v>
      </c>
      <c r="C29" s="3" t="s">
        <v>220</v>
      </c>
      <c r="D29" s="3" t="s">
        <v>244</v>
      </c>
      <c r="E29" s="3"/>
      <c r="F29" s="3"/>
    </row>
    <row r="30" spans="1:6" x14ac:dyDescent="0.25">
      <c r="A30" s="3" t="s">
        <v>187</v>
      </c>
      <c r="B30" s="3" t="s">
        <v>205</v>
      </c>
      <c r="C30" s="3" t="s">
        <v>220</v>
      </c>
      <c r="D30" s="3" t="s">
        <v>245</v>
      </c>
      <c r="E30" s="3"/>
      <c r="F30" s="3"/>
    </row>
    <row r="31" spans="1:6" x14ac:dyDescent="0.25">
      <c r="A31" s="3" t="s">
        <v>187</v>
      </c>
      <c r="B31" s="3" t="s">
        <v>205</v>
      </c>
      <c r="C31" s="3" t="s">
        <v>220</v>
      </c>
      <c r="D31" s="3" t="s">
        <v>246</v>
      </c>
      <c r="E31" s="3"/>
      <c r="F31" s="3"/>
    </row>
    <row r="32" spans="1:6" x14ac:dyDescent="0.25">
      <c r="A32" s="3" t="s">
        <v>187</v>
      </c>
      <c r="B32" s="3" t="s">
        <v>205</v>
      </c>
      <c r="C32" s="3" t="s">
        <v>220</v>
      </c>
      <c r="D32" s="3" t="s">
        <v>247</v>
      </c>
      <c r="E32" s="3"/>
      <c r="F32" s="3"/>
    </row>
    <row r="33" spans="1:6" x14ac:dyDescent="0.25">
      <c r="A33" s="3" t="s">
        <v>187</v>
      </c>
      <c r="B33" s="3" t="s">
        <v>205</v>
      </c>
      <c r="C33" s="3" t="s">
        <v>220</v>
      </c>
      <c r="D33" s="3" t="s">
        <v>248</v>
      </c>
      <c r="E33" s="3"/>
      <c r="F33" s="3"/>
    </row>
    <row r="34" spans="1:6" x14ac:dyDescent="0.25">
      <c r="A34" s="3" t="s">
        <v>187</v>
      </c>
      <c r="B34" s="3" t="s">
        <v>205</v>
      </c>
      <c r="C34" s="3" t="s">
        <v>220</v>
      </c>
      <c r="D34" s="3" t="s">
        <v>249</v>
      </c>
      <c r="E34" s="3"/>
      <c r="F34" s="3"/>
    </row>
    <row r="35" spans="1:6" x14ac:dyDescent="0.25">
      <c r="A35" s="3" t="s">
        <v>187</v>
      </c>
      <c r="B35" s="3" t="s">
        <v>175</v>
      </c>
      <c r="C35" s="3" t="s">
        <v>222</v>
      </c>
      <c r="D35" s="3" t="s">
        <v>250</v>
      </c>
      <c r="E35" s="3"/>
      <c r="F35" s="3"/>
    </row>
    <row r="36" spans="1:6" x14ac:dyDescent="0.25">
      <c r="A36" s="3" t="s">
        <v>187</v>
      </c>
      <c r="B36" s="3" t="s">
        <v>175</v>
      </c>
      <c r="C36" s="3" t="s">
        <v>222</v>
      </c>
      <c r="D36" s="3" t="s">
        <v>251</v>
      </c>
      <c r="E36" s="3"/>
      <c r="F36" s="3"/>
    </row>
    <row r="37" spans="1:6" x14ac:dyDescent="0.25">
      <c r="A37" s="3" t="s">
        <v>187</v>
      </c>
      <c r="B37" s="3" t="s">
        <v>175</v>
      </c>
      <c r="C37" s="3" t="s">
        <v>222</v>
      </c>
      <c r="D37" s="3" t="s">
        <v>252</v>
      </c>
      <c r="E37" s="3"/>
      <c r="F37" s="3"/>
    </row>
    <row r="38" spans="1:6" x14ac:dyDescent="0.25">
      <c r="A38" s="3" t="s">
        <v>187</v>
      </c>
      <c r="B38" s="3" t="s">
        <v>175</v>
      </c>
      <c r="C38" s="3" t="s">
        <v>222</v>
      </c>
      <c r="D38" s="3" t="s">
        <v>253</v>
      </c>
      <c r="E38" s="3"/>
      <c r="F38" s="3"/>
    </row>
    <row r="39" spans="1:6" x14ac:dyDescent="0.25">
      <c r="A39" s="3" t="s">
        <v>187</v>
      </c>
      <c r="B39" s="3" t="s">
        <v>175</v>
      </c>
      <c r="C39" s="3" t="s">
        <v>222</v>
      </c>
      <c r="D39" s="3" t="s">
        <v>254</v>
      </c>
      <c r="E39" s="3"/>
      <c r="F39" s="3"/>
    </row>
    <row r="40" spans="1:6" x14ac:dyDescent="0.25">
      <c r="A40" s="3" t="s">
        <v>187</v>
      </c>
      <c r="B40" s="3" t="s">
        <v>175</v>
      </c>
      <c r="C40" s="3" t="s">
        <v>222</v>
      </c>
      <c r="D40" s="3" t="s">
        <v>255</v>
      </c>
      <c r="E40" s="3"/>
      <c r="F40" s="3"/>
    </row>
    <row r="41" spans="1:6" x14ac:dyDescent="0.25">
      <c r="A41" s="3" t="s">
        <v>187</v>
      </c>
      <c r="B41" s="3" t="s">
        <v>175</v>
      </c>
      <c r="C41" s="3" t="s">
        <v>222</v>
      </c>
      <c r="D41" s="3" t="s">
        <v>256</v>
      </c>
      <c r="E41" s="3"/>
      <c r="F41" s="3"/>
    </row>
    <row r="42" spans="1:6" x14ac:dyDescent="0.25">
      <c r="A42" s="3" t="s">
        <v>187</v>
      </c>
      <c r="B42" s="3" t="s">
        <v>175</v>
      </c>
      <c r="C42" s="3" t="s">
        <v>218</v>
      </c>
      <c r="D42" s="3" t="s">
        <v>257</v>
      </c>
      <c r="E42" s="3"/>
      <c r="F42" s="3"/>
    </row>
    <row r="43" spans="1:6" x14ac:dyDescent="0.25">
      <c r="A43" s="3" t="s">
        <v>187</v>
      </c>
      <c r="B43" s="3" t="s">
        <v>175</v>
      </c>
      <c r="C43" s="3" t="s">
        <v>218</v>
      </c>
      <c r="D43" s="3" t="s">
        <v>258</v>
      </c>
      <c r="E43" s="3"/>
      <c r="F43" s="3"/>
    </row>
    <row r="44" spans="1:6" x14ac:dyDescent="0.25">
      <c r="A44" s="3" t="s">
        <v>187</v>
      </c>
      <c r="B44" s="3" t="s">
        <v>175</v>
      </c>
      <c r="C44" s="3" t="s">
        <v>218</v>
      </c>
      <c r="D44" s="3" t="s">
        <v>259</v>
      </c>
      <c r="E44" s="3"/>
      <c r="F44" s="3"/>
    </row>
    <row r="45" spans="1:6" x14ac:dyDescent="0.25">
      <c r="A45" s="3" t="s">
        <v>187</v>
      </c>
      <c r="B45" s="3" t="s">
        <v>175</v>
      </c>
      <c r="C45" s="3" t="s">
        <v>218</v>
      </c>
      <c r="D45" s="3" t="s">
        <v>260</v>
      </c>
      <c r="E45" s="3"/>
      <c r="F45" s="3"/>
    </row>
    <row r="46" spans="1:6" x14ac:dyDescent="0.25">
      <c r="A46" s="3" t="s">
        <v>187</v>
      </c>
      <c r="B46" s="3" t="s">
        <v>175</v>
      </c>
      <c r="C46" s="3" t="s">
        <v>218</v>
      </c>
      <c r="D46" s="3" t="s">
        <v>261</v>
      </c>
      <c r="E46" s="3"/>
      <c r="F46" s="3"/>
    </row>
    <row r="47" spans="1:6" x14ac:dyDescent="0.25">
      <c r="A47" s="3" t="s">
        <v>187</v>
      </c>
      <c r="B47" s="3" t="s">
        <v>175</v>
      </c>
      <c r="C47" s="3" t="s">
        <v>218</v>
      </c>
      <c r="D47" s="3" t="s">
        <v>262</v>
      </c>
      <c r="E47" s="3"/>
      <c r="F47" s="3"/>
    </row>
    <row r="48" spans="1:6" x14ac:dyDescent="0.25">
      <c r="A48" s="3" t="s">
        <v>187</v>
      </c>
      <c r="B48" s="3" t="s">
        <v>206</v>
      </c>
      <c r="C48" s="3" t="s">
        <v>220</v>
      </c>
      <c r="D48" s="3" t="s">
        <v>263</v>
      </c>
      <c r="E48" s="3"/>
      <c r="F48" s="3"/>
    </row>
    <row r="49" spans="1:6" x14ac:dyDescent="0.25">
      <c r="A49" s="3" t="s">
        <v>187</v>
      </c>
      <c r="B49" s="3" t="s">
        <v>208</v>
      </c>
      <c r="C49" s="3" t="s">
        <v>220</v>
      </c>
      <c r="D49" s="3" t="s">
        <v>264</v>
      </c>
      <c r="E49" s="3"/>
      <c r="F49" s="3"/>
    </row>
    <row r="50" spans="1:6" x14ac:dyDescent="0.25">
      <c r="A50" s="3" t="s">
        <v>187</v>
      </c>
      <c r="B50" s="3" t="s">
        <v>175</v>
      </c>
      <c r="C50" s="3" t="s">
        <v>218</v>
      </c>
      <c r="D50" s="3" t="s">
        <v>265</v>
      </c>
      <c r="E50" s="3"/>
      <c r="F50" s="3"/>
    </row>
    <row r="51" spans="1:6" x14ac:dyDescent="0.25">
      <c r="A51" s="3" t="s">
        <v>187</v>
      </c>
      <c r="B51" s="3" t="s">
        <v>209</v>
      </c>
      <c r="C51" s="3" t="s">
        <v>220</v>
      </c>
      <c r="D51" s="3" t="s">
        <v>266</v>
      </c>
      <c r="E51" s="3"/>
      <c r="F51" s="3"/>
    </row>
    <row r="52" spans="1:6" x14ac:dyDescent="0.25">
      <c r="A52" s="3" t="s">
        <v>187</v>
      </c>
      <c r="B52" s="3" t="s">
        <v>210</v>
      </c>
      <c r="C52" s="3" t="s">
        <v>217</v>
      </c>
      <c r="D52" s="3" t="s">
        <v>223</v>
      </c>
      <c r="E52" s="3"/>
      <c r="F52" s="3"/>
    </row>
    <row r="53" spans="1:6" x14ac:dyDescent="0.25">
      <c r="A53" s="3" t="s">
        <v>187</v>
      </c>
      <c r="B53" s="3" t="s">
        <v>175</v>
      </c>
      <c r="C53" s="3" t="s">
        <v>218</v>
      </c>
      <c r="D53" s="3" t="s">
        <v>267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bestFit="true" customWidth="true" style="2" width="9.28515625" collapsed="true"/>
    <col min="2" max="2" bestFit="true" customWidth="true" style="2" width="13.140625" collapsed="true"/>
    <col min="3" max="4" customWidth="true" style="2" width="101.0" collapsed="true"/>
    <col min="5" max="9" style="2" width="9.140625" collapsed="true"/>
    <col min="10" max="10" bestFit="true" customWidth="true" style="2" width="113.42578125" collapsed="true"/>
    <col min="11" max="16384" style="2" width="9.140625" collapsed="true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187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187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187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187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187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187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187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187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187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187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187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187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187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187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187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187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187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187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187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187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187</v>
      </c>
      <c r="B23" s="48" t="s">
        <v>188</v>
      </c>
      <c r="C23" s="48"/>
      <c r="D23" s="48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6" t="s">
        <v>185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Kokobe Bineyam</cp:lastModifiedBy>
  <dcterms:modified xsi:type="dcterms:W3CDTF">2016-04-04T20:20:13Z</dcterms:modified>
</cp:coreProperties>
</file>
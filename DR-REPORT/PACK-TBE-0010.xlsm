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<sst xmlns="http://schemas.openxmlformats.org/spreadsheetml/2006/main" count="825" uniqueCount="359">
  <si>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</si>
  <si>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</si>
  <si>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</si>
  <si>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</si>
  <si>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</si>
  <si>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</si>
  <si>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</si>
  <si>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</si>
  <si>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</si>
  <si>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</si>
  <si>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</si>
  <si>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</si>
  <si>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</si>
  <si>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</si>
  <si>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</si>
  <si>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</si>
  <si>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</si>
  <si>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</si>
  <si>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</si>
  <si>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</si>
  <si>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</si>
  <si>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</si>
  <si>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</si>
  <si>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</si>
  <si>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</si>
  <si>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</si>
  <si>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</si>
  <si>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</si>
  <si>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</si>
  <si>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</si>
  <si>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</si>
  <si>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</si>
  <si>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</si>
  <si>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</si>
  <si>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</si>
  <si>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</si>
  <si>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</si>
  <si>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</si>
  <si>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</si>
  <si>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</si>
  <si>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</si>
  <si>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</si>
  <si>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</si>
  <si>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</si>
  <si>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</si>
  <si>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</si>
  <si>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</si>
  <si>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</si>
  <si>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</si>
  <si>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</si>
  <si>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</si>
  <si>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</si>
  <si>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</si>
  <si>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</si>
  <si>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</si>
  <si>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</si>
  <si>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</si>
  <si>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</si>
  <si>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</si>
  <si>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</si>
  <si>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</si>
  <si>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</si>
  <si>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</si>
  <si>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</si>
  <si>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</si>
  <si>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</si>
  <si>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</si>
  <si>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</si>
  <si>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</si>
  <si>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</si>
  <si>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</si>
  <si>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</si>
  <si>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</si>
  <si>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</si>
  <si>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</si>
  <si>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</si>
  <si>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</si>
  <si>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</si>
  <si>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</si>
  <si>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</si>
  <si>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</si>
  <si>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</si>
  <si>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</si>
  <si>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</si>
  <si>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</si>
  <si>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</si>
  <si>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</si>
  <si>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</si>
  <si>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</si>
  <si>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</si>
  <si>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</si>
  <si>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</si>
  <si>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</si>
  <si>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</si>
  <si>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</si>
  <si>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</si>
  <si>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</si>
  <si>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</si>
  <si>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</si>
  <si>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</si>
  <si>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</si>
  <si>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</si>
  <si>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</si>
  <si>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</si>
  <si>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</si>
  <si>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</si>
  <si>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</si>
  <si>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</si>
  <si>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</si>
  <si>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</si>
  <si>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</si>
  <si>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</si>
  <si>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</si>
  <si>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</si>
  <si>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</si>
  <si>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</si>
  <si>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</si>
  <si>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</si>
  <si>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</si>
  <si>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</si>
  <si>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</si>
  <si>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</si>
  <si>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</si>
  <si>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</si>
  <si>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</si>
  <si>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</si>
  <si>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</si>
  <si>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</si>
  <si>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</si>
  <si>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</si>
  <si>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</si>
  <si>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</si>
  <si>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</si>
  <si>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</si>
  <si>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</si>
  <si>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</si>
  <si>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</si>
  <si>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</si>
  <si>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</si>
  <si>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</si>
  <si>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</si>
  <si>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</si>
  <si>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</si>
  <si>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</si>
  <si>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</si>
  <si>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</si>
  <si>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</si>
  <si>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</si>
  <si>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</si>
  <si>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</si>
  <si>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</si>
  <si>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</si>
  <si>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</si>
  <si>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</si>
  <si>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</si>
  <si>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</si>
  <si>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</si>
  <si>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</si>
  <si>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</si>
  <si>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</si>
  <si>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</si>
  <si>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</si>
  <si>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</si>
  <si>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</si>
  <si>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</si>
  <si>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</si>
  <si>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</si>
  <si>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</si>
  <si>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</si>
  <si>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</si>
  <si>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</si>
  <si>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</si>
  <si>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</si>
  <si>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</si>
  <si>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</si>
  <si>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</si>
  <si>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</si>
  <si>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</si>
  <si>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</si>
  <si>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</si>
  <si>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</si>
  <si>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</si>
  <si>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</si>
  <si>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</si>
  <si>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</si>
  <si>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</si>
  <si>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</si>
  <si>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</si>
  <si>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</si>
  <si>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</si>
  <si>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</si>
  <si>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</si>
  <si>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</si>
  <si>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Substep</t>
  </si>
  <si>
    <t>Batches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</si>
  <si>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</si>
  <si>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</si>
  <si>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</si>
  <si>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</si>
  <si>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</si>
  <si>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</si>
  <si>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</si>
  <si>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</si>
  <si>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</si>
  <si>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</si>
  <si>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</si>
  <si>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</si>
  <si>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</si>
  <si>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</si>
  <si>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</si>
  <si>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</si>
  <si>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</si>
  <si>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</si>
  <si>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</si>
  <si>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</si>
  <si>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</si>
  <si>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</si>
  <si>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</si>
  <si>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</si>
  <si>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</si>
  <si>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</si>
  <si>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</si>
  <si>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</si>
  <si>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</si>
  <si>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</si>
  <si>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</si>
  <si>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</si>
  <si>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</si>
  <si>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</si>
  <si>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</si>
  <si>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</si>
  <si>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</si>
  <si>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</si>
  <si>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</si>
  <si>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</si>
  <si>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</si>
  <si>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</si>
  <si>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</si>
  <si>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</si>
  <si>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</si>
  <si>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</si>
  <si>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</si>
  <si>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</si>
  <si>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</si>
  <si>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</si>
  <si>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</si>
  <si>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</si>
  <si>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</si>
  <si>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</si>
  <si>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</si>
  <si>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</si>
  <si>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</si>
  <si>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</si>
  <si>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</si>
  <si>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</si>
  <si>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</si>
  <si>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</si>
  <si>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</si>
  <si>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</si>
  <si>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</si>
  <si>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</si>
  <si>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</si>
  <si>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</si>
  <si>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</si>
  <si>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</si>
  <si>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</si>
  <si>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</si>
  <si>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</si>
  <si>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</si>
  <si>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</si>
  <si>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</si>
  <si>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</si>
  <si>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</si>
  <si>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</si>
  <si>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</si>
  <si>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</si>
  <si>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</si>
  <si>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</si>
  <si>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</si>
  <si>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</si>
  <si>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</si>
  <si>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</si>
  <si>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</si>
  <si>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</si>
  <si>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</si>
  <si>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</si>
  <si>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</si>
  <si>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</si>
  <si>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</si>
  <si>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</si>
  <si>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</si>
  <si>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</si>
  <si>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</si>
  <si>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</si>
  <si>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</si>
  <si>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</si>
  <si>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</si>
  <si>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</si>
  <si>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</si>
  <si>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</si>
  <si>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</si>
  <si>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</si>
  <si>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</si>
  <si>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</si>
  <si>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</si>
  <si>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</si>
  <si>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</si>
  <si>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</si>
  <si>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</si>
  <si>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</si>
  <si>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</si>
  <si>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</si>
  <si>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</si>
  <si>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</si>
  <si>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</si>
  <si>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</si>
  <si>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</si>
  <si>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</si>
  <si>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</si>
  <si>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</si>
  <si>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</si>
  <si>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</si>
  <si>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</si>
  <si>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</si>
  <si>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</si>
  <si>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</si>
  <si>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</si>
  <si>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</si>
  <si>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</si>
  <si>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</si>
  <si>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</si>
  <si>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</si>
  <si>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</si>
  <si>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</si>
  <si>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</si>
  <si>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</si>
  <si>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</si>
  <si>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</si>
  <si>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</si>
  <si>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</si>
  <si>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</si>
  <si>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</si>
  <si>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</si>
  <si>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</si>
  <si>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</si>
  <si>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</si>
  <si>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</si>
  <si>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</si>
  <si>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</si>
  <si>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</si>
  <si>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</si>
  <si>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</si>
  <si>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</si>
  <si>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</si>
  <si>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</si>
  <si>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</si>
  <si>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</si>
  <si>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</si>
  <si>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PACK-TBE-0010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</si>
</sst>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9" applyNumberFormat="0" applyAlignment="0" applyProtection="0"/>
    <xf numFmtId="0" fontId="25" fillId="37" borderId="0" applyNumberFormat="0" applyBorder="0" applyAlignment="0" applyProtection="0"/>
  </cellStyleXfs>
  <cellXfs count="9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21" fillId="0" borderId="22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4" xfId="0" applyFill="1" applyBorder="1"/>
    <xf numFmtId="0" fontId="0" fillId="0" borderId="0" xfId="0"/>
    <xf numFmtId="0" fontId="0" fillId="0" borderId="25" xfId="0" applyFill="1" applyBorder="1"/>
    <xf numFmtId="0" fontId="3" fillId="0" borderId="1" xfId="2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9" xfId="44" applyNumberFormat="1" applyFont="1" applyAlignment="1" applyProtection="1"/>
    <xf numFmtId="0" fontId="24" fillId="36" borderId="30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9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31" xfId="44" applyNumberFormat="1" applyFont="1" applyBorder="1" applyAlignment="1" applyProtection="1"/>
    <xf numFmtId="0" fontId="24" fillId="36" borderId="29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4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5" xfId="0" applyNumberFormat="1" applyFont="1" applyFill="1" applyBorder="1" applyAlignment="1">
      <alignment horizontal="right" vertical="center"/>
    </xf>
    <xf numFmtId="0" fontId="28" fillId="39" borderId="36" xfId="0" applyFont="1" applyFill="1" applyBorder="1" applyAlignment="1">
      <alignment vertical="center"/>
    </xf>
    <xf numFmtId="0" fontId="29" fillId="39" borderId="36" xfId="0" applyFont="1" applyFill="1" applyBorder="1" applyAlignment="1">
      <alignment horizontal="center" vertical="center"/>
    </xf>
    <xf numFmtId="0" fontId="31" fillId="39" borderId="36" xfId="0" applyFont="1" applyFill="1" applyBorder="1" applyAlignment="1">
      <alignment horizontal="center" vertical="center"/>
    </xf>
    <xf numFmtId="14" fontId="16" fillId="39" borderId="35" xfId="0" applyNumberFormat="1" applyFont="1" applyFill="1" applyBorder="1" applyAlignment="1">
      <alignment horizontal="right" vertical="center"/>
    </xf>
    <xf numFmtId="0" fontId="16" fillId="39" borderId="36" xfId="0" applyFont="1" applyFill="1" applyBorder="1" applyAlignment="1">
      <alignment vertical="center"/>
    </xf>
    <xf numFmtId="0" fontId="29" fillId="39" borderId="38" xfId="0" applyFont="1" applyFill="1" applyBorder="1" applyAlignment="1">
      <alignment horizontal="center" vertical="center"/>
    </xf>
    <xf numFmtId="0" fontId="16" fillId="39" borderId="39" xfId="0" applyFont="1" applyFill="1" applyBorder="1" applyAlignment="1">
      <alignment vertical="center"/>
    </xf>
    <xf numFmtId="0" fontId="29" fillId="39" borderId="40" xfId="0" applyFont="1" applyFill="1" applyBorder="1" applyAlignment="1">
      <alignment horizontal="center" vertical="center"/>
    </xf>
    <xf numFmtId="0" fontId="29" fillId="39" borderId="41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17" fillId="25" borderId="26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27" xfId="13" applyBorder="1" applyAlignment="1">
      <alignment horizontal="center" vertical="center"/>
    </xf>
    <xf numFmtId="0" fontId="13" fillId="7" borderId="28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32" xfId="0" applyFont="1" applyFill="1" applyBorder="1" applyAlignment="1">
      <alignment horizontal="center" vertical="center"/>
    </xf>
    <xf numFmtId="0" fontId="26" fillId="38" borderId="33" xfId="0" applyFont="1" applyFill="1" applyBorder="1" applyAlignment="1">
      <alignment horizontal="center" vertical="center"/>
    </xf>
    <xf numFmtId="0" fontId="32" fillId="38" borderId="32" xfId="0" applyFont="1" applyFill="1" applyBorder="1" applyAlignment="1">
      <alignment horizontal="center" vertical="center"/>
    </xf>
    <xf numFmtId="0" fontId="32" fillId="38" borderId="33" xfId="0" applyFont="1" applyFill="1" applyBorder="1" applyAlignment="1">
      <alignment horizontal="center" vertical="center"/>
    </xf>
    <xf numFmtId="0" fontId="32" fillId="38" borderId="37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A24" sqref="A24"/>
    </sheetView>
  </sheetViews>
  <sheetFormatPr defaultRowHeight="15" x14ac:dyDescent="0.25"/>
  <cols>
    <col min="1" max="1" bestFit="true" customWidth="true" style="23" width="7.5703125" collapsed="true"/>
    <col min="2" max="2" bestFit="true" customWidth="true" style="38" width="13.5703125" collapsed="true"/>
    <col min="3" max="3" bestFit="true" customWidth="true" style="23" width="72.5703125" collapsed="true"/>
    <col min="4" max="4" bestFit="true" customWidth="true" style="23" width="7.85546875" collapsed="true"/>
    <col min="5" max="5" bestFit="true" customWidth="true" style="23" width="7.140625" collapsed="true"/>
    <col min="6" max="6" bestFit="true" customWidth="true" style="23" width="16.42578125" collapsed="true"/>
    <col min="7" max="7" bestFit="true" customWidth="true" style="23" width="15.0" collapsed="true"/>
    <col min="8" max="8" bestFit="true" customWidth="true" style="23" width="5.7109375" collapsed="true"/>
    <col min="9" max="9" bestFit="true" customWidth="true" style="23" width="73.28515625" collapsed="true"/>
    <col min="10" max="10" bestFit="true" customWidth="true" style="23" width="100.28515625" collapsed="true"/>
    <col min="11" max="11" customWidth="true" style="23" width="58.85546875" collapsed="true"/>
    <col min="12" max="16384" style="23" width="9.140625" collapsed="true"/>
  </cols>
  <sheetData>
    <row r="1" spans="1:10" ht="3.75" customHeight="1" x14ac:dyDescent="0.25">
      <c r="A1" s="19"/>
      <c r="B1" s="37"/>
      <c r="C1" s="20"/>
      <c r="D1" s="20"/>
      <c r="E1" s="21"/>
      <c r="F1" s="22"/>
      <c r="G1" s="22"/>
      <c r="H1" s="22"/>
      <c r="I1" s="22"/>
      <c r="J1"/>
    </row>
    <row r="2" spans="1:10" ht="15" customHeight="1" x14ac:dyDescent="0.25">
      <c r="A2" s="83" t="s">
        <v>5</v>
      </c>
      <c r="B2" s="84"/>
      <c r="C2" s="26"/>
      <c r="D2" s="27"/>
      <c r="E2" s="25" t="s">
        <v>155</v>
      </c>
      <c r="F2" s="23"/>
      <c r="G2" s="25" t="s">
        <v>156</v>
      </c>
      <c r="H2" s="23"/>
      <c r="I2" s="28"/>
      <c r="J2"/>
    </row>
    <row r="3" spans="1:10" ht="3.75" customHeight="1" x14ac:dyDescent="0.25">
      <c r="A3" s="24"/>
      <c r="B3" s="39"/>
      <c r="C3" s="27"/>
      <c r="D3" s="27"/>
      <c r="E3" s="27"/>
      <c r="F3" s="27"/>
      <c r="G3" s="27"/>
      <c r="H3" s="27"/>
      <c r="I3" s="28"/>
      <c r="J3"/>
    </row>
    <row r="4" spans="1:10" ht="15" customHeight="1" x14ac:dyDescent="0.25">
      <c r="A4" s="83" t="s">
        <v>158</v>
      </c>
      <c r="B4" s="85"/>
      <c r="C4" s="44"/>
      <c r="D4" s="27"/>
      <c r="E4" s="25" t="s">
        <v>3</v>
      </c>
      <c r="F4" s="26" t="s">
        <v>187</v>
      </c>
      <c r="G4" s="25" t="s">
        <v>157</v>
      </c>
      <c r="H4" s="26" t="s">
        <v>72</v>
      </c>
      <c r="I4" s="28"/>
      <c r="J4"/>
    </row>
    <row r="5" spans="1:10" ht="3.75" customHeight="1" x14ac:dyDescent="0.25">
      <c r="A5" s="24"/>
      <c r="B5" s="39"/>
      <c r="C5" s="27"/>
      <c r="D5" s="27"/>
      <c r="E5" s="28"/>
      <c r="F5" s="27"/>
      <c r="G5" s="27"/>
      <c r="H5" s="27"/>
      <c r="I5" s="28"/>
      <c r="J5"/>
    </row>
    <row r="6" spans="1:10" ht="3.75" customHeight="1" x14ac:dyDescent="0.25">
      <c r="A6" s="24"/>
      <c r="B6" s="39"/>
      <c r="C6" s="27"/>
      <c r="D6" s="27"/>
      <c r="E6" s="27"/>
      <c r="F6" s="27"/>
      <c r="G6" s="27"/>
      <c r="H6" s="27"/>
      <c r="I6" s="28"/>
      <c r="J6"/>
    </row>
    <row r="7" spans="1:10" ht="15" customHeight="1" x14ac:dyDescent="0.25">
      <c r="A7" s="83" t="s">
        <v>181</v>
      </c>
      <c r="B7" s="84"/>
      <c r="C7" s="47"/>
      <c r="D7" s="27"/>
      <c r="E7" s="25" t="s">
        <v>159</v>
      </c>
      <c r="F7" s="29"/>
      <c r="G7" s="25" t="s">
        <v>160</v>
      </c>
      <c r="H7" s="44"/>
      <c r="I7" s="28"/>
      <c r="J7"/>
    </row>
    <row r="8" spans="1:10" ht="3.75" customHeight="1" x14ac:dyDescent="0.25">
      <c r="A8" s="24"/>
      <c r="B8" s="39"/>
      <c r="C8" s="27"/>
      <c r="D8" s="27"/>
      <c r="E8" s="25"/>
      <c r="F8" s="28"/>
      <c r="G8" s="28"/>
      <c r="H8" s="25"/>
      <c r="I8" s="28"/>
      <c r="J8"/>
    </row>
    <row r="9" spans="1:10" ht="15" customHeight="1" x14ac:dyDescent="0.25">
      <c r="A9" s="83" t="s">
        <v>161</v>
      </c>
      <c r="B9" s="84"/>
      <c r="C9" t="s">
        <v>358</v>
      </c>
      <c r="D9" s="27"/>
      <c r="E9" s="25" t="s">
        <v>197</v>
      </c>
      <c r="F9" s="29" t="s">
        <v>195</v>
      </c>
      <c r="G9" s="25" t="s">
        <v>196</v>
      </c>
      <c r="H9" s="29" t="s">
        <v>195</v>
      </c>
      <c r="I9" s="28"/>
      <c r="J9"/>
    </row>
    <row r="10" spans="1:10" ht="3.75" customHeight="1" x14ac:dyDescent="0.25">
      <c r="A10" s="24"/>
      <c r="B10" s="39"/>
      <c r="C10" s="27"/>
      <c r="D10" s="27"/>
      <c r="E10" s="28"/>
      <c r="F10" s="27"/>
      <c r="G10" s="27"/>
      <c r="H10" s="27"/>
      <c r="I10" s="27"/>
      <c r="J10"/>
    </row>
    <row r="11" spans="1:10" ht="15" customHeight="1" x14ac:dyDescent="0.25">
      <c r="A11" s="83" t="s">
        <v>182</v>
      </c>
      <c r="B11" s="84"/>
      <c r="C11" s="43"/>
      <c r="D11" s="30"/>
      <c r="E11" s="30"/>
      <c r="F11" s="30"/>
      <c r="G11" s="30"/>
      <c r="H11" s="30"/>
      <c r="I11" s="31"/>
      <c r="J11"/>
    </row>
    <row r="12" spans="1:10" ht="3.75" customHeight="1" thickBot="1" x14ac:dyDescent="0.3">
      <c r="A12" s="32"/>
      <c r="B12" s="40"/>
      <c r="C12" s="33"/>
      <c r="D12" s="33"/>
      <c r="E12" s="34"/>
      <c r="F12" s="34"/>
      <c r="G12" s="34"/>
      <c r="H12" s="34"/>
      <c r="I12" s="34"/>
      <c r="J12"/>
    </row>
    <row r="13" spans="1:10" ht="15.75" thickBot="1" x14ac:dyDescent="0.3">
      <c r="A13" s="82" t="str">
        <f>CONCATENATE("cd $SH/rmm_32",";","pk_RMM_execProc RMM.cfg RMM_upgradeEnv ",C9)</f>
        <v>cd $SH/rmm_32;pk_RMM_execProc RMM.cfg RMM_upgradeEnv PACK-XXX-XXXX</v>
      </c>
      <c r="B13" s="82"/>
      <c r="C13" s="82"/>
      <c r="D13" s="82"/>
      <c r="E13" s="82"/>
      <c r="F13" s="82"/>
      <c r="G13" s="82"/>
      <c r="H13" s="82"/>
      <c r="I13" s="82"/>
    </row>
    <row r="14" spans="1:10" ht="15" customHeight="1" thickTop="1" x14ac:dyDescent="0.25">
      <c r="A14" s="35" t="s">
        <v>3</v>
      </c>
      <c r="B14" s="52" t="s">
        <v>169</v>
      </c>
      <c r="C14" s="35" t="s">
        <v>6</v>
      </c>
      <c r="D14" s="52" t="s">
        <v>162</v>
      </c>
      <c r="E14" s="52" t="s">
        <v>163</v>
      </c>
      <c r="F14" s="86" t="s">
        <v>8</v>
      </c>
      <c r="G14" s="87"/>
      <c r="H14" s="87"/>
      <c r="I14" s="87"/>
    </row>
    <row r="15" spans="1:10" x14ac:dyDescent="0.25">
      <c r="A15" s="36" t="s">
        <v>0</v>
      </c>
      <c r="B15" s="41" t="s">
        <v>170</v>
      </c>
      <c r="C15" s="36" t="s">
        <v>164</v>
      </c>
      <c r="D15" s="45"/>
      <c r="E15" s="45"/>
      <c r="F15" s="88"/>
      <c r="G15" s="88"/>
      <c r="H15" s="88"/>
      <c r="I15" s="88"/>
    </row>
    <row r="16" spans="1:10" x14ac:dyDescent="0.25">
      <c r="A16" s="36" t="s">
        <v>187</v>
      </c>
      <c r="B16" s="41" t="s">
        <v>170</v>
      </c>
      <c r="C16" s="36" t="s">
        <v>166</v>
      </c>
      <c r="D16" s="45"/>
      <c r="E16" s="36"/>
      <c r="F16" s="88"/>
      <c r="G16" s="88"/>
      <c r="H16" s="88"/>
      <c r="I16" s="88"/>
    </row>
    <row r="17" spans="1:9" x14ac:dyDescent="0.25">
      <c r="A17" s="36" t="s">
        <v>187</v>
      </c>
      <c r="B17" s="41" t="s">
        <v>170</v>
      </c>
      <c r="C17" s="36" t="s">
        <v>165</v>
      </c>
      <c r="D17" s="45"/>
      <c r="E17" s="45"/>
      <c r="F17" s="88"/>
      <c r="G17" s="88"/>
      <c r="H17" s="88"/>
      <c r="I17" s="88"/>
    </row>
    <row r="18" spans="1:9" x14ac:dyDescent="0.25">
      <c r="A18" s="36" t="s">
        <v>187</v>
      </c>
      <c r="B18" s="36" t="s">
        <v>176</v>
      </c>
      <c r="C18" s="36" t="s">
        <v>167</v>
      </c>
      <c r="D18" s="45"/>
      <c r="E18" s="45"/>
      <c r="F18" s="88"/>
      <c r="G18" s="88"/>
      <c r="H18" s="88"/>
      <c r="I18" s="88"/>
    </row>
    <row r="19" spans="1:9" x14ac:dyDescent="0.25">
      <c r="A19" s="36" t="s">
        <v>187</v>
      </c>
      <c r="B19" s="41" t="s">
        <v>171</v>
      </c>
      <c r="C19" s="36" t="str">
        <f>CONCATENATE("Generate the transfer operations on ",F2)</f>
        <v>Generate the transfer operations on From here</v>
      </c>
      <c r="D19" s="45"/>
      <c r="E19" s="45"/>
      <c r="F19" s="88"/>
      <c r="G19" s="88"/>
      <c r="H19" s="88"/>
      <c r="I19" s="88"/>
    </row>
    <row r="20" spans="1:9" x14ac:dyDescent="0.25">
      <c r="A20" s="36" t="s">
        <v>187</v>
      </c>
      <c r="B20" s="41" t="s">
        <v>171</v>
      </c>
      <c r="C20" s="36" t="str">
        <f>CONCATENATE("Check the generated transfer operations for pack ",C11)</f>
        <v xml:space="preserve">Check the generated transfer operations for pack </v>
      </c>
      <c r="D20" s="45"/>
      <c r="E20" s="45"/>
      <c r="F20" s="88"/>
      <c r="G20" s="88"/>
      <c r="H20" s="88"/>
      <c r="I20" s="88"/>
    </row>
    <row r="21" spans="1:9" x14ac:dyDescent="0.25">
      <c r="A21" s="36" t="s">
        <v>187</v>
      </c>
      <c r="B21" s="41" t="s">
        <v>171</v>
      </c>
      <c r="C21" s="36" t="s">
        <v>178</v>
      </c>
      <c r="D21" s="45"/>
      <c r="E21" s="45"/>
      <c r="F21" s="88"/>
      <c r="G21" s="88"/>
      <c r="H21" s="88"/>
      <c r="I21" s="88"/>
    </row>
    <row r="22" spans="1:9" x14ac:dyDescent="0.25">
      <c r="A22" s="36" t="s">
        <v>187</v>
      </c>
      <c r="B22" s="41" t="s">
        <v>171</v>
      </c>
      <c r="C22" s="36" t="s">
        <v>177</v>
      </c>
      <c r="D22" s="45"/>
      <c r="E22" s="45"/>
      <c r="F22" s="88"/>
      <c r="G22" s="88"/>
      <c r="H22" s="88"/>
      <c r="I22" s="88"/>
    </row>
    <row r="23" spans="1:9" x14ac:dyDescent="0.25">
      <c r="A23" s="36" t="s">
        <v>187</v>
      </c>
      <c r="B23" s="41" t="s">
        <v>172</v>
      </c>
      <c r="C23" s="36" t="str">
        <f>CONCATENATE("Add the Synergy tasks to the manual folder of ",H2)</f>
        <v>Add the Synergy tasks to the manual folder of To here</v>
      </c>
      <c r="D23" s="45"/>
      <c r="E23" s="45"/>
      <c r="F23" s="88"/>
      <c r="G23" s="88"/>
      <c r="H23" s="88"/>
      <c r="I23" s="88"/>
    </row>
    <row r="24" spans="1:9" x14ac:dyDescent="0.25">
      <c r="A24" s="36" t="s">
        <v>187</v>
      </c>
      <c r="B24" s="41" t="s">
        <v>172</v>
      </c>
      <c r="C24" s="36" t="str">
        <f>CONCATENATE("Update the Synergy project THALER~",H2)</f>
        <v>Update the Synergy project THALER~To here</v>
      </c>
      <c r="D24" s="45"/>
      <c r="E24" s="45"/>
      <c r="F24" s="88"/>
      <c r="G24" s="88"/>
      <c r="H24" s="88"/>
      <c r="I24" s="88"/>
    </row>
    <row r="25" spans="1:9" x14ac:dyDescent="0.25">
      <c r="A25" s="36" t="s">
        <v>187</v>
      </c>
      <c r="B25" s="41" t="s">
        <v>172</v>
      </c>
      <c r="C25" s="36" t="str">
        <f>CONCATENATE("Detect the conflicts of the Synergy project THALER~",H2)</f>
        <v>Detect the conflicts of the Synergy project THALER~To here</v>
      </c>
      <c r="D25" s="45"/>
      <c r="E25" s="45"/>
      <c r="F25" s="88"/>
      <c r="G25" s="88"/>
      <c r="H25" s="88"/>
      <c r="I25" s="88"/>
    </row>
    <row r="26" spans="1:9" x14ac:dyDescent="0.25">
      <c r="A26" s="36" t="s">
        <v>187</v>
      </c>
      <c r="B26" s="41" t="s">
        <v>172</v>
      </c>
      <c r="C26" s="36" t="str">
        <f>CONCATENATE(" Synchronize the Synergy work area of the project THALER~",H2)</f>
        <v xml:space="preserve"> Synchronize the Synergy work area of the project THALER~To here</v>
      </c>
      <c r="D26" s="45"/>
      <c r="E26" s="45"/>
      <c r="F26" s="88"/>
      <c r="G26" s="88"/>
      <c r="H26" s="88"/>
      <c r="I26" s="88"/>
    </row>
    <row r="27" spans="1:9" x14ac:dyDescent="0.25">
      <c r="A27" s="36" t="s">
        <v>187</v>
      </c>
      <c r="B27" s="41" t="s">
        <v>173</v>
      </c>
      <c r="C27" s="36" t="s">
        <v>179</v>
      </c>
      <c r="D27" s="45"/>
      <c r="E27" s="45"/>
      <c r="F27" s="88"/>
      <c r="G27" s="88"/>
      <c r="H27" s="88"/>
      <c r="I27" s="88"/>
    </row>
    <row r="28" spans="1:9" x14ac:dyDescent="0.25">
      <c r="A28" s="36" t="s">
        <v>187</v>
      </c>
      <c r="B28" s="41" t="s">
        <v>174</v>
      </c>
      <c r="C28" s="36" t="s">
        <v>180</v>
      </c>
      <c r="D28" s="45"/>
      <c r="E28" s="45"/>
      <c r="F28" s="88"/>
      <c r="G28" s="88"/>
      <c r="H28" s="88"/>
      <c r="I28" s="88"/>
    </row>
    <row r="29" spans="1:9" x14ac:dyDescent="0.25">
      <c r="A29" s="36" t="s">
        <v>187</v>
      </c>
      <c r="B29" s="41" t="s">
        <v>174</v>
      </c>
      <c r="C29" s="36" t="str">
        <f>CONCATENATE("Execute the 'P' transfers of the TOS ",C11," on the master BES")</f>
        <v>Execute the 'P' transfers of the TOS  on the master BES</v>
      </c>
      <c r="D29" s="45"/>
      <c r="E29" s="45"/>
      <c r="F29" s="88"/>
      <c r="G29" s="88"/>
      <c r="H29" s="88"/>
      <c r="I29" s="88"/>
    </row>
    <row r="30" spans="1:9" x14ac:dyDescent="0.25">
      <c r="A30" s="36" t="s">
        <v>187</v>
      </c>
      <c r="B30" s="41" t="s">
        <v>174</v>
      </c>
      <c r="C30" s="36" t="str">
        <f>CONCATENATE("Detect membership conflicts of the TOS '",C9,"' using the Flattening")</f>
        <v>Detect membership conflicts of the TOS 'PACK-XXX-XXXX' using the Flattening</v>
      </c>
      <c r="D30" s="45"/>
      <c r="E30" s="45"/>
      <c r="F30" s="88"/>
      <c r="G30" s="88"/>
      <c r="H30" s="88"/>
      <c r="I30" s="88"/>
    </row>
    <row r="31" spans="1:9" x14ac:dyDescent="0.25">
      <c r="A31" s="36" t="s">
        <v>187</v>
      </c>
      <c r="B31" s="41" t="s">
        <v>172</v>
      </c>
      <c r="C31" s="36" t="str">
        <f>CONCATENATE("Deploy the Synergy tasks on project THALER~",H2)</f>
        <v>Deploy the Synergy tasks on project THALER~To here</v>
      </c>
      <c r="D31" s="45"/>
      <c r="E31" s="45"/>
      <c r="F31" s="88"/>
      <c r="G31" s="88"/>
      <c r="H31" s="88"/>
      <c r="I31" s="88"/>
    </row>
    <row r="32" spans="1:9" ht="21" customHeight="1" x14ac:dyDescent="0.25">
      <c r="A32" s="36" t="s">
        <v>187</v>
      </c>
      <c r="B32" s="41" t="s">
        <v>173</v>
      </c>
      <c r="C32" s="36" t="str">
        <f>CONCATENATE("Compare all templates before their deployment into the projects of ",H2)</f>
        <v>Compare all templates before their deployment into the projects of To here</v>
      </c>
      <c r="D32" s="45"/>
      <c r="E32" s="45"/>
      <c r="F32" s="88"/>
      <c r="G32" s="88"/>
      <c r="H32" s="88"/>
      <c r="I32" s="88"/>
    </row>
    <row r="33" spans="1:9" x14ac:dyDescent="0.25">
      <c r="A33" s="36" t="s">
        <v>187</v>
      </c>
      <c r="B33" s="41" t="s">
        <v>173</v>
      </c>
      <c r="C33" s="36" t="str">
        <f>CONCATENATE("Deploy the configuration files into the projects of ",H2)</f>
        <v>Deploy the configuration files into the projects of To here</v>
      </c>
      <c r="D33" s="45"/>
      <c r="E33" s="45"/>
      <c r="F33" s="88"/>
      <c r="G33" s="88"/>
      <c r="H33" s="88"/>
      <c r="I33" s="88"/>
    </row>
    <row r="34" spans="1:9" x14ac:dyDescent="0.25">
      <c r="A34" s="36" t="s">
        <v>187</v>
      </c>
      <c r="B34" s="41" t="s">
        <v>174</v>
      </c>
      <c r="C34" s="36" t="str">
        <f>CONCATENATE("Execute the 'P/D' orders of the TOS '",C9,"' on the master BES")</f>
        <v>Execute the 'P/D' orders of the TOS 'PACK-XXX-XXXX' on the master BES</v>
      </c>
      <c r="D34" s="45"/>
      <c r="E34" s="45"/>
      <c r="F34" s="88"/>
      <c r="G34" s="88"/>
      <c r="H34" s="88"/>
      <c r="I34" s="88"/>
    </row>
    <row r="35" spans="1:9" x14ac:dyDescent="0.25">
      <c r="A35" s="36" t="s">
        <v>187</v>
      </c>
      <c r="B35" s="41" t="s">
        <v>174</v>
      </c>
      <c r="C35" s="36" t="str">
        <f>CONCATENATE("Execute the 'H' orders of the TOS '",C9,"' on the master BES")</f>
        <v>Execute the 'H' orders of the TOS 'PACK-XXX-XXXX' on the master BES</v>
      </c>
      <c r="D35" s="45"/>
      <c r="E35" s="45"/>
      <c r="F35" s="88"/>
      <c r="G35" s="88"/>
      <c r="H35" s="88"/>
      <c r="I35" s="88"/>
    </row>
    <row r="36" spans="1:9" x14ac:dyDescent="0.25">
      <c r="A36" s="36" t="s">
        <v>187</v>
      </c>
      <c r="B36" s="41" t="s">
        <v>174</v>
      </c>
      <c r="C36" s="36" t="str">
        <f>CONCATENATE("Execute the 'U/B' orders of the TOS '",C9,"' on the master BES")</f>
        <v>Execute the 'U/B' orders of the TOS 'PACK-XXX-XXXX' on the master BES</v>
      </c>
      <c r="D36" s="45"/>
      <c r="E36" s="45"/>
      <c r="F36" s="88"/>
      <c r="G36" s="88"/>
      <c r="H36" s="88"/>
      <c r="I36" s="88"/>
    </row>
    <row r="37" spans="1:9" x14ac:dyDescent="0.25">
      <c r="A37" s="36" t="s">
        <v>187</v>
      </c>
      <c r="B37" s="41" t="s">
        <v>174</v>
      </c>
      <c r="C37" s="36" t="str">
        <f>CONCATENATE("Execute the 'T/O' orders of the TOS '",C9,"' on the master BES")</f>
        <v>Execute the 'T/O' orders of the TOS 'PACK-XXX-XXXX' on the master BES</v>
      </c>
      <c r="D37" s="45"/>
      <c r="E37" s="45"/>
      <c r="F37" s="88"/>
      <c r="G37" s="88"/>
      <c r="H37" s="88"/>
      <c r="I37" s="88"/>
    </row>
    <row r="38" spans="1:9" x14ac:dyDescent="0.25">
      <c r="A38" s="36" t="s">
        <v>187</v>
      </c>
      <c r="B38" s="41" t="s">
        <v>174</v>
      </c>
      <c r="C38" s="36" t="str">
        <f>CONCATENATE("Execute the 'A' orders of the TOS '",C9,"' on the master BES")</f>
        <v>Execute the 'A' orders of the TOS 'PACK-XXX-XXXX' on the master BES</v>
      </c>
      <c r="D38" s="45"/>
      <c r="E38" s="45"/>
      <c r="F38" s="88"/>
      <c r="G38" s="88"/>
      <c r="H38" s="88"/>
      <c r="I38" s="88"/>
    </row>
    <row r="39" spans="1:9" x14ac:dyDescent="0.25">
      <c r="A39" s="36" t="s">
        <v>187</v>
      </c>
      <c r="B39" s="41" t="s">
        <v>173</v>
      </c>
      <c r="C39" s="36" t="s">
        <v>183</v>
      </c>
      <c r="D39" s="45"/>
      <c r="E39" s="45"/>
      <c r="F39" s="88"/>
      <c r="G39" s="88"/>
      <c r="H39" s="88"/>
      <c r="I39" s="88"/>
    </row>
    <row r="40" spans="1:9" x14ac:dyDescent="0.25">
      <c r="A40" s="36" t="s">
        <v>187</v>
      </c>
      <c r="B40" s="41" t="s">
        <v>175</v>
      </c>
      <c r="C40" s="36" t="str">
        <f>CONCATENATE("Build the V2 environment of ",H2)</f>
        <v>Build the V2 environment of To here</v>
      </c>
      <c r="D40" s="45"/>
      <c r="E40" s="45"/>
      <c r="F40" s="88"/>
      <c r="G40" s="88"/>
      <c r="H40" s="88"/>
      <c r="I40" s="88"/>
    </row>
    <row r="41" spans="1:9" x14ac:dyDescent="0.25">
      <c r="A41" s="36" t="s">
        <v>187</v>
      </c>
      <c r="B41" s="41" t="s">
        <v>174</v>
      </c>
      <c r="C41" s="36" t="str">
        <f>CONCATENATE("Execute the 'C' orders of the TOS '",C9,"' on the master BES")</f>
        <v>Execute the 'C' orders of the TOS 'PACK-XXX-XXXX' on the master BES</v>
      </c>
      <c r="D41" s="45"/>
      <c r="E41" s="45"/>
      <c r="F41" s="88"/>
      <c r="G41" s="88"/>
      <c r="H41" s="88"/>
      <c r="I41" s="88"/>
    </row>
    <row r="42" spans="1:9" x14ac:dyDescent="0.25">
      <c r="A42" s="36" t="s">
        <v>187</v>
      </c>
      <c r="B42" s="41" t="s">
        <v>173</v>
      </c>
      <c r="C42" s="36" t="s">
        <v>184</v>
      </c>
      <c r="D42" s="45"/>
      <c r="E42" s="45"/>
      <c r="F42" s="88"/>
      <c r="G42" s="88"/>
      <c r="H42" s="88"/>
      <c r="I42" s="88"/>
    </row>
    <row r="43" spans="1:9" x14ac:dyDescent="0.25">
      <c r="A43" s="36" t="s">
        <v>187</v>
      </c>
      <c r="B43" s="41" t="s">
        <v>176</v>
      </c>
      <c r="C43" s="36" t="s">
        <v>168</v>
      </c>
      <c r="D43" s="45"/>
      <c r="E43" s="45"/>
      <c r="F43" s="88"/>
      <c r="G43" s="88"/>
      <c r="H43" s="88"/>
      <c r="I43" s="88"/>
    </row>
    <row r="44" spans="1:9" x14ac:dyDescent="0.25">
      <c r="A44" s="36" t="s">
        <v>187</v>
      </c>
      <c r="B44" s="41" t="s">
        <v>176</v>
      </c>
      <c r="C44" s="36" t="s">
        <v>167</v>
      </c>
      <c r="D44" s="45"/>
      <c r="E44" s="45"/>
      <c r="F44" s="88"/>
      <c r="G44" s="88"/>
      <c r="H44" s="88"/>
      <c r="I44" s="88"/>
    </row>
    <row r="45" spans="1:9" x14ac:dyDescent="0.25">
      <c r="G45" s="42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opLeftCell="B13" workbookViewId="0">
      <selection activeCell="P17" sqref="P17"/>
    </sheetView>
  </sheetViews>
  <sheetFormatPr defaultRowHeight="15" x14ac:dyDescent="0.25"/>
  <cols>
    <col min="1" max="1" customWidth="true" width="13.28515625" collapsed="true"/>
    <col min="2" max="2" customWidth="true" width="15.42578125" collapsed="true"/>
    <col min="4" max="4" bestFit="true" customWidth="true" width="15.28515625" collapsed="true"/>
    <col min="7" max="7" bestFit="true" customWidth="true" width="10.7109375" collapsed="true"/>
    <col min="10" max="10" bestFit="true" customWidth="true" width="15.0" collapsed="true"/>
    <col min="15" max="15" bestFit="true" customWidth="true" width="10.7109375" collapsed="true"/>
    <col min="16" max="16" bestFit="true" customWidth="true" width="42.5703125" collapsed="true"/>
  </cols>
  <sheetData>
    <row r="1" spans="1:10" ht="15.75" thickBot="1" x14ac:dyDescent="0.3">
      <c r="A1" t="s">
        <v>325</v>
      </c>
      <c r="G1" t="s">
        <v>335</v>
      </c>
    </row>
    <row r="2" spans="1:10" ht="15.75" thickBot="1" x14ac:dyDescent="0.3">
      <c r="A2" s="89" t="s">
        <v>302</v>
      </c>
      <c r="B2" s="90"/>
      <c r="C2" s="90"/>
      <c r="D2" s="91"/>
      <c r="G2" s="92" t="s">
        <v>326</v>
      </c>
      <c r="H2" s="93"/>
      <c r="I2" s="93"/>
      <c r="J2" s="93"/>
    </row>
    <row r="3" spans="1:10" ht="15.75" thickBot="1" x14ac:dyDescent="0.3">
      <c r="A3" s="61" t="s">
        <v>303</v>
      </c>
      <c r="B3" s="61" t="s">
        <v>57</v>
      </c>
      <c r="C3" s="61" t="s">
        <v>304</v>
      </c>
      <c r="D3" s="61" t="s">
        <v>305</v>
      </c>
      <c r="G3" s="67" t="s">
        <v>303</v>
      </c>
      <c r="H3" s="68" t="s">
        <v>57</v>
      </c>
      <c r="I3" s="68" t="s">
        <v>327</v>
      </c>
      <c r="J3" s="68" t="s">
        <v>328</v>
      </c>
    </row>
    <row r="4" spans="1:10" ht="15.75" thickBot="1" x14ac:dyDescent="0.3">
      <c r="A4" s="62">
        <v>42433</v>
      </c>
      <c r="B4" s="63" t="s">
        <v>306</v>
      </c>
      <c r="C4" s="63" t="s">
        <v>307</v>
      </c>
      <c r="D4" s="64" t="s">
        <v>308</v>
      </c>
      <c r="G4" s="69">
        <v>42290</v>
      </c>
      <c r="H4" s="70" t="s">
        <v>306</v>
      </c>
      <c r="I4" s="70" t="s">
        <v>307</v>
      </c>
      <c r="J4" s="71" t="s">
        <v>308</v>
      </c>
    </row>
    <row r="5" spans="1:10" ht="15.75" thickBot="1" x14ac:dyDescent="0.3">
      <c r="A5" s="62">
        <v>42433</v>
      </c>
      <c r="B5" s="63" t="s">
        <v>309</v>
      </c>
      <c r="C5" s="63" t="s">
        <v>310</v>
      </c>
      <c r="D5" s="64" t="s">
        <v>308</v>
      </c>
      <c r="G5" s="69">
        <v>42290</v>
      </c>
      <c r="H5" s="70" t="s">
        <v>329</v>
      </c>
      <c r="I5" s="70" t="s">
        <v>310</v>
      </c>
      <c r="J5" s="72" t="s">
        <v>330</v>
      </c>
    </row>
    <row r="6" spans="1:10" ht="15.75" thickBot="1" x14ac:dyDescent="0.3">
      <c r="A6" s="62">
        <v>42433</v>
      </c>
      <c r="B6" s="63" t="s">
        <v>311</v>
      </c>
      <c r="C6" s="63" t="s">
        <v>310</v>
      </c>
      <c r="D6" s="64" t="s">
        <v>308</v>
      </c>
      <c r="G6" s="69">
        <v>42290</v>
      </c>
      <c r="H6" s="70" t="s">
        <v>311</v>
      </c>
      <c r="I6" s="70" t="s">
        <v>310</v>
      </c>
      <c r="J6" s="72" t="s">
        <v>330</v>
      </c>
    </row>
    <row r="7" spans="1:10" ht="15.75" thickBot="1" x14ac:dyDescent="0.3">
      <c r="A7" s="62">
        <v>42433</v>
      </c>
      <c r="B7" s="63" t="s">
        <v>312</v>
      </c>
      <c r="C7" s="63" t="s">
        <v>310</v>
      </c>
      <c r="D7" s="64" t="s">
        <v>308</v>
      </c>
      <c r="G7" s="69">
        <v>42290</v>
      </c>
      <c r="H7" s="70" t="s">
        <v>312</v>
      </c>
      <c r="I7" s="70" t="s">
        <v>310</v>
      </c>
      <c r="J7" s="72" t="s">
        <v>330</v>
      </c>
    </row>
    <row r="8" spans="1:10" ht="15.75" thickBot="1" x14ac:dyDescent="0.3">
      <c r="A8" s="62">
        <v>42433</v>
      </c>
      <c r="B8" s="63" t="s">
        <v>313</v>
      </c>
      <c r="C8" s="63" t="s">
        <v>310</v>
      </c>
      <c r="D8" s="64" t="s">
        <v>308</v>
      </c>
      <c r="G8" s="69">
        <v>42290</v>
      </c>
      <c r="H8" s="70" t="s">
        <v>331</v>
      </c>
      <c r="I8" s="70" t="s">
        <v>310</v>
      </c>
      <c r="J8" s="72" t="s">
        <v>330</v>
      </c>
    </row>
    <row r="9" spans="1:10" ht="15.75" thickBot="1" x14ac:dyDescent="0.3">
      <c r="A9" s="62">
        <v>42433</v>
      </c>
      <c r="B9" s="63" t="s">
        <v>314</v>
      </c>
      <c r="C9" s="63" t="s">
        <v>310</v>
      </c>
      <c r="D9" s="64" t="s">
        <v>308</v>
      </c>
      <c r="G9" s="69">
        <v>42291</v>
      </c>
      <c r="H9" s="70" t="s">
        <v>318</v>
      </c>
      <c r="I9" s="70" t="s">
        <v>310</v>
      </c>
      <c r="J9" s="72" t="s">
        <v>330</v>
      </c>
    </row>
    <row r="10" spans="1:10" ht="15.75" thickBot="1" x14ac:dyDescent="0.3">
      <c r="A10" s="62">
        <v>42433</v>
      </c>
      <c r="B10" s="63" t="s">
        <v>315</v>
      </c>
      <c r="C10" s="63" t="s">
        <v>310</v>
      </c>
      <c r="D10" s="64" t="s">
        <v>308</v>
      </c>
      <c r="G10" s="69">
        <v>42291</v>
      </c>
      <c r="H10" s="70" t="s">
        <v>320</v>
      </c>
      <c r="I10" s="70" t="s">
        <v>310</v>
      </c>
      <c r="J10" s="72" t="s">
        <v>330</v>
      </c>
    </row>
    <row r="11" spans="1:10" ht="15.75" thickBot="1" x14ac:dyDescent="0.3">
      <c r="A11" s="65">
        <v>42436</v>
      </c>
      <c r="B11" s="66" t="s">
        <v>316</v>
      </c>
      <c r="C11" s="66" t="s">
        <v>310</v>
      </c>
      <c r="D11" s="64" t="s">
        <v>308</v>
      </c>
      <c r="G11" s="69">
        <v>42291</v>
      </c>
      <c r="H11" s="70" t="s">
        <v>321</v>
      </c>
      <c r="I11" s="70" t="s">
        <v>310</v>
      </c>
      <c r="J11" s="72" t="s">
        <v>330</v>
      </c>
    </row>
    <row r="12" spans="1:10" ht="15.75" thickBot="1" x14ac:dyDescent="0.3">
      <c r="A12" s="65">
        <v>42436</v>
      </c>
      <c r="B12" s="66" t="s">
        <v>317</v>
      </c>
      <c r="C12" s="66" t="s">
        <v>310</v>
      </c>
      <c r="D12" s="64" t="s">
        <v>308</v>
      </c>
      <c r="G12" s="69">
        <v>42291</v>
      </c>
      <c r="H12" s="70" t="s">
        <v>322</v>
      </c>
      <c r="I12" s="70" t="s">
        <v>310</v>
      </c>
      <c r="J12" s="72" t="s">
        <v>330</v>
      </c>
    </row>
    <row r="13" spans="1:10" ht="15.75" thickBot="1" x14ac:dyDescent="0.3">
      <c r="A13" s="65">
        <v>42436</v>
      </c>
      <c r="B13" s="66" t="s">
        <v>318</v>
      </c>
      <c r="C13" s="66" t="s">
        <v>310</v>
      </c>
      <c r="D13" s="64" t="s">
        <v>308</v>
      </c>
      <c r="G13" s="69">
        <v>42291</v>
      </c>
      <c r="H13" s="70" t="s">
        <v>332</v>
      </c>
      <c r="I13" s="70" t="s">
        <v>310</v>
      </c>
      <c r="J13" s="72" t="s">
        <v>330</v>
      </c>
    </row>
    <row r="14" spans="1:10" ht="15.75" thickBot="1" x14ac:dyDescent="0.3">
      <c r="A14" s="65">
        <v>42436</v>
      </c>
      <c r="B14" s="66" t="s">
        <v>319</v>
      </c>
      <c r="C14" s="66" t="s">
        <v>310</v>
      </c>
      <c r="D14" s="64" t="s">
        <v>308</v>
      </c>
      <c r="G14" s="69">
        <v>42291</v>
      </c>
      <c r="H14" s="70" t="s">
        <v>333</v>
      </c>
      <c r="I14" s="70" t="s">
        <v>334</v>
      </c>
      <c r="J14" s="72" t="s">
        <v>330</v>
      </c>
    </row>
    <row r="15" spans="1:10" ht="15.75" thickBot="1" x14ac:dyDescent="0.3">
      <c r="A15" s="65">
        <v>42436</v>
      </c>
      <c r="B15" s="66" t="s">
        <v>320</v>
      </c>
      <c r="C15" s="66" t="s">
        <v>310</v>
      </c>
      <c r="D15" s="64" t="s">
        <v>308</v>
      </c>
      <c r="G15" s="69">
        <v>42291</v>
      </c>
      <c r="H15" s="70" t="s">
        <v>324</v>
      </c>
      <c r="I15" s="70" t="s">
        <v>310</v>
      </c>
      <c r="J15" s="72" t="s">
        <v>330</v>
      </c>
    </row>
    <row r="16" spans="1:10" x14ac:dyDescent="0.25">
      <c r="A16" s="65">
        <v>42436</v>
      </c>
      <c r="B16" s="66" t="s">
        <v>321</v>
      </c>
      <c r="C16" s="66" t="s">
        <v>310</v>
      </c>
      <c r="D16" s="64" t="s">
        <v>308</v>
      </c>
    </row>
    <row r="17" spans="1:18" x14ac:dyDescent="0.25">
      <c r="A17" s="65">
        <v>42436</v>
      </c>
      <c r="B17" s="66" t="s">
        <v>322</v>
      </c>
      <c r="C17" s="66" t="s">
        <v>310</v>
      </c>
      <c r="D17" s="64" t="s">
        <v>308</v>
      </c>
    </row>
    <row r="18" spans="1:18" x14ac:dyDescent="0.25">
      <c r="A18" s="65">
        <v>42436</v>
      </c>
      <c r="B18" s="66" t="s">
        <v>323</v>
      </c>
      <c r="C18" s="66" t="s">
        <v>310</v>
      </c>
      <c r="D18" s="64" t="s">
        <v>308</v>
      </c>
    </row>
    <row r="19" spans="1:18" ht="15.75" thickBot="1" x14ac:dyDescent="0.3">
      <c r="A19" s="65">
        <v>42436</v>
      </c>
      <c r="B19" s="66" t="s">
        <v>324</v>
      </c>
      <c r="C19" s="66" t="s">
        <v>310</v>
      </c>
      <c r="D19" s="64" t="s">
        <v>308</v>
      </c>
    </row>
    <row r="20" spans="1:18" ht="15.75" thickBot="1" x14ac:dyDescent="0.3">
      <c r="G20" s="94" t="s">
        <v>336</v>
      </c>
      <c r="H20" s="95"/>
      <c r="I20" s="95"/>
      <c r="J20" s="95"/>
      <c r="K20" s="95"/>
      <c r="L20" s="96"/>
      <c r="O20" s="61" t="s">
        <v>303</v>
      </c>
      <c r="P20" s="61" t="s">
        <v>347</v>
      </c>
      <c r="Q20" s="61" t="s">
        <v>327</v>
      </c>
      <c r="R20" s="61" t="s">
        <v>348</v>
      </c>
    </row>
    <row r="21" spans="1:18" ht="15.75" thickBot="1" x14ac:dyDescent="0.3">
      <c r="A21" t="s">
        <v>346</v>
      </c>
      <c r="G21" s="67" t="s">
        <v>303</v>
      </c>
      <c r="H21" s="68" t="s">
        <v>57</v>
      </c>
      <c r="I21" s="68" t="s">
        <v>327</v>
      </c>
      <c r="J21" s="68" t="s">
        <v>337</v>
      </c>
      <c r="K21" s="68" t="s">
        <v>338</v>
      </c>
      <c r="L21" s="68" t="s">
        <v>339</v>
      </c>
      <c r="O21" s="62">
        <v>42445</v>
      </c>
      <c r="P21" s="63" t="s">
        <v>306</v>
      </c>
      <c r="Q21" s="63" t="s">
        <v>307</v>
      </c>
      <c r="R21" s="64" t="s">
        <v>308</v>
      </c>
    </row>
    <row r="22" spans="1:18" ht="15.75" thickBot="1" x14ac:dyDescent="0.3">
      <c r="A22" s="94" t="s">
        <v>340</v>
      </c>
      <c r="B22" s="95"/>
      <c r="C22" s="95"/>
      <c r="D22" s="95"/>
      <c r="G22" s="73">
        <v>42187</v>
      </c>
      <c r="H22" s="74" t="s">
        <v>306</v>
      </c>
      <c r="I22" s="74" t="s">
        <v>307</v>
      </c>
      <c r="J22" s="71" t="s">
        <v>308</v>
      </c>
      <c r="K22" s="71" t="s">
        <v>308</v>
      </c>
      <c r="L22" s="71" t="s">
        <v>308</v>
      </c>
      <c r="O22" s="62">
        <v>42445</v>
      </c>
      <c r="P22" s="63" t="s">
        <v>349</v>
      </c>
      <c r="Q22" s="63" t="s">
        <v>310</v>
      </c>
      <c r="R22" s="72" t="s">
        <v>330</v>
      </c>
    </row>
    <row r="23" spans="1:18" ht="15.75" thickBot="1" x14ac:dyDescent="0.3">
      <c r="A23" s="67" t="s">
        <v>303</v>
      </c>
      <c r="B23" s="68" t="s">
        <v>57</v>
      </c>
      <c r="C23" s="68" t="s">
        <v>327</v>
      </c>
      <c r="D23" s="68" t="s">
        <v>341</v>
      </c>
      <c r="G23" s="73">
        <v>42146</v>
      </c>
      <c r="H23" s="74" t="s">
        <v>329</v>
      </c>
      <c r="I23" s="74" t="s">
        <v>310</v>
      </c>
      <c r="J23" s="72" t="s">
        <v>330</v>
      </c>
      <c r="K23" s="72" t="s">
        <v>330</v>
      </c>
      <c r="L23" s="72" t="s">
        <v>330</v>
      </c>
      <c r="O23" s="62">
        <v>42445</v>
      </c>
      <c r="P23" s="63" t="s">
        <v>313</v>
      </c>
      <c r="Q23" s="63" t="s">
        <v>310</v>
      </c>
      <c r="R23" s="72" t="s">
        <v>330</v>
      </c>
    </row>
    <row r="24" spans="1:18" ht="15.75" thickBot="1" x14ac:dyDescent="0.3">
      <c r="A24" s="73">
        <v>42423</v>
      </c>
      <c r="B24" s="74" t="s">
        <v>306</v>
      </c>
      <c r="C24" s="74" t="s">
        <v>307</v>
      </c>
      <c r="D24" s="71" t="s">
        <v>308</v>
      </c>
      <c r="G24" s="73">
        <v>42146</v>
      </c>
      <c r="H24" s="74" t="s">
        <v>311</v>
      </c>
      <c r="I24" s="74" t="s">
        <v>310</v>
      </c>
      <c r="J24" s="72" t="s">
        <v>330</v>
      </c>
      <c r="K24" s="72" t="s">
        <v>330</v>
      </c>
      <c r="L24" s="72" t="s">
        <v>330</v>
      </c>
      <c r="O24" s="62">
        <v>42445</v>
      </c>
      <c r="P24" s="63" t="s">
        <v>350</v>
      </c>
      <c r="Q24" s="63" t="s">
        <v>310</v>
      </c>
      <c r="R24" s="72" t="s">
        <v>330</v>
      </c>
    </row>
    <row r="25" spans="1:18" ht="15.75" thickBot="1" x14ac:dyDescent="0.3">
      <c r="A25" s="73">
        <v>42423</v>
      </c>
      <c r="B25" s="74" t="s">
        <v>329</v>
      </c>
      <c r="C25" s="74" t="s">
        <v>310</v>
      </c>
      <c r="D25" s="71" t="s">
        <v>308</v>
      </c>
      <c r="G25" s="73">
        <v>42146</v>
      </c>
      <c r="H25" s="74" t="s">
        <v>312</v>
      </c>
      <c r="I25" s="74" t="s">
        <v>310</v>
      </c>
      <c r="J25" s="72" t="s">
        <v>330</v>
      </c>
      <c r="K25" s="72" t="s">
        <v>330</v>
      </c>
      <c r="L25" s="72" t="s">
        <v>330</v>
      </c>
      <c r="O25" s="62">
        <v>42445</v>
      </c>
      <c r="P25" s="63" t="s">
        <v>314</v>
      </c>
      <c r="Q25" s="63" t="s">
        <v>310</v>
      </c>
      <c r="R25" s="72" t="s">
        <v>330</v>
      </c>
    </row>
    <row r="26" spans="1:18" ht="15.75" thickBot="1" x14ac:dyDescent="0.3">
      <c r="A26" s="73">
        <v>42423</v>
      </c>
      <c r="B26" s="74" t="s">
        <v>311</v>
      </c>
      <c r="C26" s="74" t="s">
        <v>310</v>
      </c>
      <c r="D26" s="71" t="s">
        <v>308</v>
      </c>
      <c r="G26" s="73">
        <v>42146</v>
      </c>
      <c r="H26" s="74" t="s">
        <v>331</v>
      </c>
      <c r="I26" s="74" t="s">
        <v>310</v>
      </c>
      <c r="J26" s="72" t="s">
        <v>330</v>
      </c>
      <c r="K26" s="72" t="s">
        <v>330</v>
      </c>
      <c r="L26" s="72" t="s">
        <v>330</v>
      </c>
      <c r="O26" s="62">
        <v>42445</v>
      </c>
      <c r="P26" s="63" t="s">
        <v>315</v>
      </c>
      <c r="Q26" s="63" t="s">
        <v>310</v>
      </c>
      <c r="R26" s="72" t="s">
        <v>330</v>
      </c>
    </row>
    <row r="27" spans="1:18" ht="15.75" thickBot="1" x14ac:dyDescent="0.3">
      <c r="A27" s="73">
        <v>42423</v>
      </c>
      <c r="B27" s="74" t="s">
        <v>312</v>
      </c>
      <c r="C27" s="74" t="s">
        <v>310</v>
      </c>
      <c r="D27" s="71" t="s">
        <v>308</v>
      </c>
      <c r="G27" s="73">
        <v>42146</v>
      </c>
      <c r="H27" s="74" t="s">
        <v>318</v>
      </c>
      <c r="I27" s="74" t="s">
        <v>310</v>
      </c>
      <c r="J27" s="72" t="s">
        <v>330</v>
      </c>
      <c r="K27" s="72" t="s">
        <v>330</v>
      </c>
      <c r="L27" s="72" t="s">
        <v>330</v>
      </c>
      <c r="O27" s="62">
        <v>42445</v>
      </c>
      <c r="P27" s="63" t="s">
        <v>316</v>
      </c>
      <c r="Q27" s="63" t="s">
        <v>310</v>
      </c>
      <c r="R27" s="72" t="s">
        <v>330</v>
      </c>
    </row>
    <row r="28" spans="1:18" ht="15.75" thickBot="1" x14ac:dyDescent="0.3">
      <c r="A28" s="73">
        <v>42423</v>
      </c>
      <c r="B28" s="74" t="s">
        <v>331</v>
      </c>
      <c r="C28" s="74" t="s">
        <v>310</v>
      </c>
      <c r="D28" s="71" t="s">
        <v>308</v>
      </c>
      <c r="G28" s="73">
        <v>42146</v>
      </c>
      <c r="H28" s="74" t="s">
        <v>320</v>
      </c>
      <c r="I28" s="74" t="s">
        <v>310</v>
      </c>
      <c r="J28" s="72" t="s">
        <v>330</v>
      </c>
      <c r="K28" s="72" t="s">
        <v>330</v>
      </c>
      <c r="L28" s="72" t="s">
        <v>330</v>
      </c>
      <c r="O28" s="62">
        <v>42445</v>
      </c>
      <c r="P28" s="63" t="s">
        <v>351</v>
      </c>
      <c r="Q28" s="63" t="s">
        <v>310</v>
      </c>
      <c r="R28" s="72" t="s">
        <v>330</v>
      </c>
    </row>
    <row r="29" spans="1:18" ht="15.75" thickBot="1" x14ac:dyDescent="0.3">
      <c r="A29" s="73">
        <v>42423</v>
      </c>
      <c r="B29" s="74" t="s">
        <v>342</v>
      </c>
      <c r="C29" s="74" t="s">
        <v>310</v>
      </c>
      <c r="D29" s="75" t="s">
        <v>308</v>
      </c>
      <c r="G29" s="73">
        <v>42146</v>
      </c>
      <c r="H29" s="74" t="s">
        <v>321</v>
      </c>
      <c r="I29" s="74" t="s">
        <v>310</v>
      </c>
      <c r="J29" s="72" t="s">
        <v>330</v>
      </c>
      <c r="K29" s="72" t="s">
        <v>330</v>
      </c>
      <c r="L29" s="72" t="s">
        <v>330</v>
      </c>
      <c r="O29" s="62">
        <v>42445</v>
      </c>
      <c r="P29" s="63" t="s">
        <v>352</v>
      </c>
      <c r="Q29" s="63" t="s">
        <v>310</v>
      </c>
      <c r="R29" s="72" t="s">
        <v>330</v>
      </c>
    </row>
    <row r="30" spans="1:18" ht="15.75" thickBot="1" x14ac:dyDescent="0.3">
      <c r="A30" s="73">
        <v>42423</v>
      </c>
      <c r="B30" s="74" t="s">
        <v>343</v>
      </c>
      <c r="C30" s="76" t="s">
        <v>310</v>
      </c>
      <c r="D30" s="77" t="s">
        <v>308</v>
      </c>
      <c r="G30" s="73">
        <v>42146</v>
      </c>
      <c r="H30" s="74" t="s">
        <v>322</v>
      </c>
      <c r="I30" s="74" t="s">
        <v>310</v>
      </c>
      <c r="J30" s="72" t="s">
        <v>330</v>
      </c>
      <c r="K30" s="72" t="s">
        <v>330</v>
      </c>
      <c r="L30" s="72" t="s">
        <v>330</v>
      </c>
      <c r="O30" s="62">
        <v>42445</v>
      </c>
      <c r="P30" s="63" t="s">
        <v>353</v>
      </c>
      <c r="Q30" s="63" t="s">
        <v>310</v>
      </c>
      <c r="R30" s="72" t="s">
        <v>330</v>
      </c>
    </row>
    <row r="31" spans="1:18" ht="15.75" thickBot="1" x14ac:dyDescent="0.3">
      <c r="A31" s="73">
        <v>42423</v>
      </c>
      <c r="B31" s="74" t="s">
        <v>318</v>
      </c>
      <c r="C31" s="76" t="s">
        <v>310</v>
      </c>
      <c r="D31" s="78" t="s">
        <v>308</v>
      </c>
      <c r="G31" s="73">
        <v>42146</v>
      </c>
      <c r="H31" s="74" t="s">
        <v>332</v>
      </c>
      <c r="I31" s="74" t="s">
        <v>310</v>
      </c>
      <c r="J31" s="72" t="s">
        <v>330</v>
      </c>
      <c r="K31" s="72" t="s">
        <v>330</v>
      </c>
      <c r="L31" s="72" t="s">
        <v>330</v>
      </c>
      <c r="O31" s="62">
        <v>42445</v>
      </c>
      <c r="P31" s="63" t="s">
        <v>354</v>
      </c>
      <c r="Q31" s="63" t="s">
        <v>310</v>
      </c>
      <c r="R31" s="72" t="s">
        <v>330</v>
      </c>
    </row>
    <row r="32" spans="1:18" ht="15.75" thickBot="1" x14ac:dyDescent="0.3">
      <c r="A32" s="73">
        <v>42423</v>
      </c>
      <c r="B32" s="74" t="s">
        <v>344</v>
      </c>
      <c r="C32" s="76" t="s">
        <v>310</v>
      </c>
      <c r="D32" s="72" t="s">
        <v>330</v>
      </c>
      <c r="G32" s="73">
        <v>42146</v>
      </c>
      <c r="H32" s="74" t="s">
        <v>333</v>
      </c>
      <c r="I32" s="74" t="s">
        <v>334</v>
      </c>
      <c r="J32" s="72" t="s">
        <v>330</v>
      </c>
      <c r="K32" s="72" t="s">
        <v>330</v>
      </c>
      <c r="L32" s="72" t="s">
        <v>330</v>
      </c>
      <c r="O32" s="62">
        <v>42445</v>
      </c>
      <c r="P32" s="63" t="s">
        <v>319</v>
      </c>
      <c r="Q32" s="63" t="s">
        <v>310</v>
      </c>
      <c r="R32" s="72" t="s">
        <v>330</v>
      </c>
    </row>
    <row r="33" spans="1:18" ht="15.75" thickBot="1" x14ac:dyDescent="0.3">
      <c r="A33" s="73">
        <v>42423</v>
      </c>
      <c r="B33" s="74" t="s">
        <v>320</v>
      </c>
      <c r="C33" s="76" t="s">
        <v>310</v>
      </c>
      <c r="D33" s="78" t="s">
        <v>308</v>
      </c>
      <c r="G33" s="73">
        <v>42146</v>
      </c>
      <c r="H33" s="74" t="s">
        <v>324</v>
      </c>
      <c r="I33" s="74" t="s">
        <v>310</v>
      </c>
      <c r="J33" s="72" t="s">
        <v>330</v>
      </c>
      <c r="K33" s="72" t="s">
        <v>330</v>
      </c>
      <c r="L33" s="72" t="s">
        <v>330</v>
      </c>
      <c r="O33" s="62">
        <v>42445</v>
      </c>
      <c r="P33" s="63" t="s">
        <v>320</v>
      </c>
      <c r="Q33" s="63" t="s">
        <v>310</v>
      </c>
      <c r="R33" s="72" t="s">
        <v>330</v>
      </c>
    </row>
    <row r="34" spans="1:18" ht="15.75" thickBot="1" x14ac:dyDescent="0.3">
      <c r="A34" s="73">
        <v>42423</v>
      </c>
      <c r="B34" s="74" t="s">
        <v>321</v>
      </c>
      <c r="C34" s="74" t="s">
        <v>310</v>
      </c>
      <c r="D34" s="78" t="s">
        <v>308</v>
      </c>
      <c r="O34" s="62">
        <v>42445</v>
      </c>
      <c r="P34" s="63" t="s">
        <v>321</v>
      </c>
      <c r="Q34" s="63" t="s">
        <v>310</v>
      </c>
      <c r="R34" s="72" t="s">
        <v>330</v>
      </c>
    </row>
    <row r="35" spans="1:18" ht="15.75" thickBot="1" x14ac:dyDescent="0.3">
      <c r="A35" s="73">
        <v>42423</v>
      </c>
      <c r="B35" s="74" t="s">
        <v>322</v>
      </c>
      <c r="C35" s="74" t="s">
        <v>310</v>
      </c>
      <c r="D35" s="78" t="s">
        <v>308</v>
      </c>
      <c r="O35" s="62">
        <v>42445</v>
      </c>
      <c r="P35" s="63" t="s">
        <v>322</v>
      </c>
      <c r="Q35" s="63" t="s">
        <v>310</v>
      </c>
      <c r="R35" s="72" t="s">
        <v>330</v>
      </c>
    </row>
    <row r="36" spans="1:18" ht="15.75" thickBot="1" x14ac:dyDescent="0.3">
      <c r="A36" s="73">
        <v>42423</v>
      </c>
      <c r="B36" s="74" t="s">
        <v>332</v>
      </c>
      <c r="C36" s="74" t="s">
        <v>310</v>
      </c>
      <c r="D36" s="78" t="s">
        <v>308</v>
      </c>
      <c r="O36" s="62">
        <v>42445</v>
      </c>
      <c r="P36" s="63" t="s">
        <v>355</v>
      </c>
      <c r="Q36" s="63" t="s">
        <v>310</v>
      </c>
      <c r="R36" s="72" t="s">
        <v>330</v>
      </c>
    </row>
    <row r="37" spans="1:18" ht="15.75" thickBot="1" x14ac:dyDescent="0.3">
      <c r="A37" s="73">
        <v>42424</v>
      </c>
      <c r="B37" s="74" t="s">
        <v>345</v>
      </c>
      <c r="C37" s="74" t="s">
        <v>310</v>
      </c>
      <c r="D37" s="78" t="s">
        <v>308</v>
      </c>
      <c r="O37" s="62">
        <v>42445</v>
      </c>
      <c r="P37" s="63" t="s">
        <v>324</v>
      </c>
      <c r="Q37" s="63" t="s">
        <v>310</v>
      </c>
      <c r="R37" s="72" t="s">
        <v>330</v>
      </c>
    </row>
    <row r="38" spans="1:18" ht="15.75" thickBot="1" x14ac:dyDescent="0.3">
      <c r="A38" s="73">
        <v>42424</v>
      </c>
      <c r="B38" s="74" t="s">
        <v>324</v>
      </c>
      <c r="C38" s="74" t="s">
        <v>310</v>
      </c>
      <c r="D38" s="78" t="s">
        <v>308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customWidth="true" style="47" width="20.140625" collapsed="true"/>
    <col min="2" max="2" bestFit="true" customWidth="true" width="10.85546875" collapsed="true"/>
    <col min="4" max="5" customWidth="true" width="11.0" collapsed="true"/>
    <col min="6" max="6" customWidth="true" width="12.85546875" collapsed="true"/>
    <col min="7" max="7" customWidth="true" width="52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273</v>
      </c>
      <c r="D1" s="53" t="s">
        <v>274</v>
      </c>
      <c r="E1" s="53" t="s">
        <v>275</v>
      </c>
      <c r="F1" s="53" t="s">
        <v>276</v>
      </c>
      <c r="G1" s="54" t="s">
        <v>277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customWidth="true" style="47" width="23.42578125" collapsed="true"/>
    <col min="2" max="2" customWidth="true" width="13.42578125" collapsed="true"/>
    <col min="3" max="3" customWidth="true" width="40.42578125" collapsed="true"/>
    <col min="5" max="5" customWidth="true" width="13.28515625" collapsed="true"/>
    <col min="6" max="6" customWidth="true" width="11.28515625" collapsed="true"/>
    <col min="7" max="7" customWidth="true" width="9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278</v>
      </c>
      <c r="D1" s="53" t="s">
        <v>279</v>
      </c>
      <c r="E1" s="53" t="s">
        <v>280</v>
      </c>
      <c r="F1" s="55" t="s">
        <v>275</v>
      </c>
      <c r="G1" s="56" t="s">
        <v>272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customWidth="true" style="47" width="22.85546875" collapsed="true"/>
    <col min="17" max="17" customWidth="true" width="104.0" collapsed="true"/>
  </cols>
  <sheetData>
    <row r="1" spans="1:19" ht="16.5" thickTop="1" thickBot="1" x14ac:dyDescent="0.3">
      <c r="A1" s="80" t="s">
        <v>161</v>
      </c>
      <c r="B1" s="53" t="s">
        <v>281</v>
      </c>
      <c r="C1" s="53" t="s">
        <v>282</v>
      </c>
      <c r="D1" s="53" t="s">
        <v>283</v>
      </c>
      <c r="E1" s="53" t="s">
        <v>284</v>
      </c>
      <c r="F1" s="53" t="s">
        <v>285</v>
      </c>
      <c r="G1" s="53" t="s">
        <v>286</v>
      </c>
      <c r="H1" s="53" t="s">
        <v>287</v>
      </c>
      <c r="I1" s="53" t="s">
        <v>288</v>
      </c>
      <c r="J1" s="57" t="s">
        <v>289</v>
      </c>
      <c r="K1" s="53" t="s">
        <v>290</v>
      </c>
      <c r="L1" s="53" t="s">
        <v>291</v>
      </c>
      <c r="M1" s="57" t="s">
        <v>292</v>
      </c>
      <c r="N1" s="53" t="s">
        <v>293</v>
      </c>
      <c r="O1" s="53" t="s">
        <v>274</v>
      </c>
      <c r="P1" s="53" t="s">
        <v>294</v>
      </c>
      <c r="Q1" s="53" t="s">
        <v>295</v>
      </c>
      <c r="R1" s="58" t="s">
        <v>296</v>
      </c>
      <c r="S1" s="59" t="s">
        <v>186</v>
      </c>
    </row>
    <row r="2" spans="1:19" ht="15.75" thickTop="1" x14ac:dyDescent="0.25"/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customWidth="true" style="47" width="20.28515625" collapsed="true"/>
    <col min="3" max="3" customWidth="true" width="37.85546875" collapsed="true"/>
    <col min="4" max="4" customWidth="true" width="9.42578125" collapsed="true"/>
    <col min="5" max="5" customWidth="true" width="17.42578125" collapsed="true"/>
    <col min="6" max="6" customWidth="true" width="14.140625" collapsed="true"/>
  </cols>
  <sheetData>
    <row r="1" spans="1:6" ht="16.5" thickTop="1" thickBot="1" x14ac:dyDescent="0.3">
      <c r="A1" s="80" t="s">
        <v>161</v>
      </c>
      <c r="B1" s="60" t="s">
        <v>297</v>
      </c>
      <c r="C1" s="60" t="s">
        <v>299</v>
      </c>
      <c r="D1" s="60" t="s">
        <v>298</v>
      </c>
      <c r="E1" s="60" t="s">
        <v>300</v>
      </c>
      <c r="F1" s="60" t="s">
        <v>301</v>
      </c>
    </row>
    <row r="2" spans="1:6" ht="15.75" thickTop="1" x14ac:dyDescent="0.25"/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tabSelected="1"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customWidth="true" style="47" width="21.5703125" collapsed="true"/>
    <col min="2" max="2" customWidth="true" width="18.85546875" collapsed="true"/>
    <col min="3" max="3" customWidth="true" width="21.5703125" collapsed="true"/>
  </cols>
  <sheetData>
    <row r="1" spans="1:3" x14ac:dyDescent="0.25">
      <c r="A1" s="81" t="s">
        <v>161</v>
      </c>
      <c r="B1" s="79" t="s">
        <v>356</v>
      </c>
      <c r="C1" s="79" t="s">
        <v>357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7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186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25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25"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25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25"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25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25"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25"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25"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</row>
    <row r="11" spans="1:22" x14ac:dyDescent="0.25"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25"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25"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25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25"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25"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3:22" x14ac:dyDescent="0.25"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3:22" x14ac:dyDescent="0.25">
      <c r="C18" s="47"/>
      <c r="D18" s="47"/>
      <c r="E18" s="47"/>
      <c r="F18" s="47"/>
      <c r="G18" s="47"/>
      <c r="H18" s="47"/>
      <c r="I18" s="47"/>
      <c r="J18" s="51"/>
      <c r="K18" s="51"/>
      <c r="L18" s="51"/>
      <c r="M18" s="51"/>
      <c r="N18" s="51"/>
      <c r="O18" s="47"/>
      <c r="P18" s="47"/>
      <c r="Q18" s="47"/>
      <c r="R18" s="47"/>
      <c r="S18" s="47"/>
      <c r="T18" s="47"/>
      <c r="U18" s="47"/>
      <c r="V18" s="47"/>
    </row>
    <row r="19" spans="3:22" x14ac:dyDescent="0.25">
      <c r="C19" s="47"/>
      <c r="D19" s="47"/>
      <c r="E19" s="47"/>
      <c r="F19" s="47"/>
      <c r="G19" s="47"/>
      <c r="H19" s="47"/>
      <c r="I19" s="47"/>
      <c r="J19" s="51"/>
      <c r="K19" s="51"/>
      <c r="L19" s="51"/>
      <c r="M19" s="51"/>
      <c r="N19" s="51"/>
      <c r="O19" s="47"/>
      <c r="P19" s="47"/>
      <c r="Q19" s="47"/>
      <c r="R19" s="47"/>
      <c r="S19" s="47"/>
      <c r="T19" s="47"/>
      <c r="U19" s="47"/>
      <c r="V19" s="47"/>
    </row>
    <row r="20" spans="3:22" x14ac:dyDescent="0.25">
      <c r="C20" s="47"/>
      <c r="D20" s="47"/>
      <c r="E20" s="47"/>
      <c r="F20" s="47"/>
      <c r="G20" s="47"/>
      <c r="H20" s="47"/>
      <c r="I20" s="47"/>
      <c r="J20" s="51"/>
      <c r="K20" s="51"/>
      <c r="L20" s="51"/>
      <c r="M20" s="51"/>
      <c r="N20" s="51"/>
      <c r="O20" s="47"/>
      <c r="P20" s="47"/>
      <c r="Q20" s="47"/>
      <c r="R20" s="47"/>
      <c r="S20" s="47"/>
      <c r="T20" s="47"/>
      <c r="U20" s="47"/>
      <c r="V20" s="47"/>
    </row>
    <row r="21" spans="3:22" x14ac:dyDescent="0.25"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3:22" x14ac:dyDescent="0.25"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3:22" x14ac:dyDescent="0.25"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3:22" x14ac:dyDescent="0.25"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3:22" x14ac:dyDescent="0.25"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3:22" x14ac:dyDescent="0.25"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3:22" x14ac:dyDescent="0.25"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3:22" x14ac:dyDescent="0.25"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3:22" x14ac:dyDescent="0.25"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3:22" x14ac:dyDescent="0.25"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3:22" x14ac:dyDescent="0.25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3:22" x14ac:dyDescent="0.25"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3:22" x14ac:dyDescent="0.25"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3:22" x14ac:dyDescent="0.25"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3:22" x14ac:dyDescent="0.25"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3:22" x14ac:dyDescent="0.25"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3:22" x14ac:dyDescent="0.25"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3:22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3:22" x14ac:dyDescent="0.25"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3:22" x14ac:dyDescent="0.25"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3:22" x14ac:dyDescent="0.25"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  <row r="42" spans="3:22" x14ac:dyDescent="0.25"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</row>
    <row r="43" spans="3:22" x14ac:dyDescent="0.25"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</row>
    <row r="44" spans="3:22" x14ac:dyDescent="0.25"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</row>
    <row r="45" spans="3:22" x14ac:dyDescent="0.25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spans="3:22" x14ac:dyDescent="0.25"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</row>
    <row r="47" spans="3:22" x14ac:dyDescent="0.25"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8" spans="3:22" x14ac:dyDescent="0.25"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</row>
    <row r="49" spans="3:22" x14ac:dyDescent="0.25"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</row>
    <row r="50" spans="3:22" x14ac:dyDescent="0.25"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</row>
    <row r="51" spans="3:22" x14ac:dyDescent="0.25"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</row>
    <row r="52" spans="3:22" x14ac:dyDescent="0.25"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</row>
    <row r="53" spans="3:22" x14ac:dyDescent="0.25"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</row>
    <row r="54" spans="3:22" x14ac:dyDescent="0.25"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</row>
    <row r="55" spans="3:22" x14ac:dyDescent="0.25"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</row>
    <row r="56" spans="3:22" x14ac:dyDescent="0.25"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</row>
    <row r="57" spans="3:22" x14ac:dyDescent="0.25"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</row>
    <row r="58" spans="3:22" x14ac:dyDescent="0.25"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</row>
    <row r="59" spans="3:22" x14ac:dyDescent="0.25"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</row>
    <row r="60" spans="3:22" x14ac:dyDescent="0.25"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spans="3:22" x14ac:dyDescent="0.25"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</row>
    <row r="62" spans="3:22" x14ac:dyDescent="0.25"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</row>
    <row r="63" spans="3:22" x14ac:dyDescent="0.25"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</row>
    <row r="64" spans="3:22" x14ac:dyDescent="0.25"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</row>
    <row r="65" spans="3:22" x14ac:dyDescent="0.25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</row>
    <row r="66" spans="3:22" x14ac:dyDescent="0.25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51"/>
      <c r="R66" s="51"/>
      <c r="S66" s="51"/>
      <c r="T66" s="51"/>
      <c r="U66" s="47"/>
      <c r="V66" s="47"/>
    </row>
    <row r="67" spans="3:22" x14ac:dyDescent="0.25"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51"/>
      <c r="R67" s="51"/>
      <c r="S67" s="51"/>
      <c r="T67" s="51"/>
      <c r="U67" s="47"/>
      <c r="V67" s="47"/>
    </row>
    <row r="68" spans="3:22" x14ac:dyDescent="0.25"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</row>
    <row r="69" spans="3:22" x14ac:dyDescent="0.25"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</row>
    <row r="70" spans="3:22" x14ac:dyDescent="0.25"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</row>
    <row r="71" spans="3:22" x14ac:dyDescent="0.25"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</row>
    <row r="72" spans="3:22" x14ac:dyDescent="0.25"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</row>
    <row r="73" spans="3:22" x14ac:dyDescent="0.25"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</row>
    <row r="74" spans="3:22" x14ac:dyDescent="0.25"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51"/>
      <c r="R74" s="51"/>
      <c r="S74" s="51"/>
      <c r="T74" s="51"/>
      <c r="U74" s="47"/>
      <c r="V74" s="47"/>
    </row>
    <row r="75" spans="3:22" x14ac:dyDescent="0.25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51"/>
      <c r="R75" s="51"/>
      <c r="S75" s="51"/>
      <c r="T75" s="51"/>
      <c r="U75" s="47"/>
      <c r="V75" s="47"/>
    </row>
    <row r="76" spans="3:22" x14ac:dyDescent="0.25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3:22" x14ac:dyDescent="0.25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</row>
    <row r="78" spans="3:22" x14ac:dyDescent="0.25"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</row>
    <row r="79" spans="3:22" x14ac:dyDescent="0.25"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</row>
    <row r="80" spans="3:22" x14ac:dyDescent="0.25"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</row>
    <row r="81" spans="3:22" x14ac:dyDescent="0.25"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</row>
    <row r="82" spans="3:22" x14ac:dyDescent="0.25"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</row>
    <row r="83" spans="3:22" x14ac:dyDescent="0.25"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</row>
    <row r="84" spans="3:22" x14ac:dyDescent="0.25"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3:22" x14ac:dyDescent="0.25"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3:22" x14ac:dyDescent="0.25"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3:22" x14ac:dyDescent="0.25"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3:22" x14ac:dyDescent="0.25"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3:22" x14ac:dyDescent="0.25"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0" spans="3:22" x14ac:dyDescent="0.25"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</row>
    <row r="91" spans="3:22" x14ac:dyDescent="0.25"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</row>
    <row r="92" spans="3:22" x14ac:dyDescent="0.25"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3:22" x14ac:dyDescent="0.25"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3:22" x14ac:dyDescent="0.25"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3:22" x14ac:dyDescent="0.25"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3:22" x14ac:dyDescent="0.25"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3:22" x14ac:dyDescent="0.25"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8" spans="3:22" x14ac:dyDescent="0.25"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</row>
    <row r="99" spans="3:22" x14ac:dyDescent="0.25"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</row>
    <row r="100" spans="3:22" x14ac:dyDescent="0.25"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3:22" x14ac:dyDescent="0.25"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3:22" x14ac:dyDescent="0.25"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3:22" x14ac:dyDescent="0.25"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3:22" x14ac:dyDescent="0.25"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3:22" x14ac:dyDescent="0.25"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6" spans="3:22" x14ac:dyDescent="0.25"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</row>
    <row r="107" spans="3:22" x14ac:dyDescent="0.25"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8" spans="3:22" x14ac:dyDescent="0.25"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3:22" x14ac:dyDescent="0.25"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3:22" x14ac:dyDescent="0.25"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3:22" x14ac:dyDescent="0.25"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3:22" x14ac:dyDescent="0.25"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3:22" x14ac:dyDescent="0.25"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4" spans="3:22" x14ac:dyDescent="0.25"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</row>
    <row r="115" spans="3:22" x14ac:dyDescent="0.25"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</row>
    <row r="116" spans="3:22" x14ac:dyDescent="0.25"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3:22" x14ac:dyDescent="0.25"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3:22" x14ac:dyDescent="0.25"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3:22" x14ac:dyDescent="0.25"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3:22" x14ac:dyDescent="0.25"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3:22" x14ac:dyDescent="0.25"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2" spans="3:22" x14ac:dyDescent="0.25"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</row>
    <row r="123" spans="3:22" x14ac:dyDescent="0.25"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</row>
    <row r="124" spans="3:22" x14ac:dyDescent="0.25"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3:22" x14ac:dyDescent="0.25"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3:22" x14ac:dyDescent="0.25"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3:22" x14ac:dyDescent="0.25"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3:22" x14ac:dyDescent="0.25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3:22" x14ac:dyDescent="0.25"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0" spans="3:22" x14ac:dyDescent="0.25"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</row>
    <row r="131" spans="3:22" x14ac:dyDescent="0.25"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</row>
    <row r="132" spans="3:22" x14ac:dyDescent="0.25"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3:22" x14ac:dyDescent="0.25"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3:22" x14ac:dyDescent="0.25"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3:22" x14ac:dyDescent="0.25"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3:22" x14ac:dyDescent="0.25"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3:22" x14ac:dyDescent="0.25"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  <row r="138" spans="3:22" x14ac:dyDescent="0.25"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</row>
    <row r="139" spans="3:22" x14ac:dyDescent="0.25"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</row>
    <row r="140" spans="3:22" x14ac:dyDescent="0.25"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</row>
    <row r="141" spans="3:22" x14ac:dyDescent="0.25"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</row>
    <row r="142" spans="3:22" x14ac:dyDescent="0.25"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</row>
    <row r="143" spans="3:22" x14ac:dyDescent="0.25"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</row>
    <row r="144" spans="3:22" x14ac:dyDescent="0.25"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</row>
    <row r="145" spans="3:22" x14ac:dyDescent="0.25"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</row>
    <row r="146" spans="3:22" x14ac:dyDescent="0.25"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</row>
    <row r="147" spans="3:22" x14ac:dyDescent="0.25"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</row>
    <row r="148" spans="3:22" x14ac:dyDescent="0.25"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</row>
    <row r="149" spans="3:22" x14ac:dyDescent="0.25"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</row>
    <row r="150" spans="3:22" x14ac:dyDescent="0.25"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</row>
    <row r="151" spans="3:22" x14ac:dyDescent="0.25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</row>
    <row r="152" spans="3:22" x14ac:dyDescent="0.25"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</row>
    <row r="153" spans="3:22" x14ac:dyDescent="0.25"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</row>
    <row r="154" spans="3:22" x14ac:dyDescent="0.25"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</row>
    <row r="155" spans="3:22" x14ac:dyDescent="0.25"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</row>
    <row r="156" spans="3:22" x14ac:dyDescent="0.25"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</row>
    <row r="157" spans="3:22" x14ac:dyDescent="0.25"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</row>
    <row r="158" spans="3:22" x14ac:dyDescent="0.25"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</row>
    <row r="159" spans="3:22" x14ac:dyDescent="0.25"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</row>
    <row r="160" spans="3:22" x14ac:dyDescent="0.25"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</row>
    <row r="161" spans="3:22" x14ac:dyDescent="0.25"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</row>
    <row r="162" spans="3:22" x14ac:dyDescent="0.25"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</row>
    <row r="163" spans="3:22" x14ac:dyDescent="0.25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</row>
    <row r="164" spans="3:22" x14ac:dyDescent="0.25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</row>
    <row r="165" spans="3:22" x14ac:dyDescent="0.25"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</row>
    <row r="166" spans="3:22" x14ac:dyDescent="0.25"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</row>
    <row r="167" spans="3:22" x14ac:dyDescent="0.25"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</row>
    <row r="168" spans="3:22" x14ac:dyDescent="0.25"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</row>
    <row r="169" spans="3:22" x14ac:dyDescent="0.25"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</row>
    <row r="170" spans="3:22" x14ac:dyDescent="0.25"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97"/>
      <c r="D1" s="97"/>
      <c r="E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191</v>
      </c>
      <c r="D2" s="1" t="s">
        <v>192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7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0" t="s">
        <v>67</v>
      </c>
      <c r="C2" s="50" t="s">
        <v>193</v>
      </c>
      <c r="D2" s="50" t="s">
        <v>68</v>
      </c>
      <c r="E2" s="50" t="s">
        <v>69</v>
      </c>
      <c r="F2" s="50" t="s">
        <v>70</v>
      </c>
    </row>
    <row r="3" spans="1:6" x14ac:dyDescent="0.25">
      <c r="E3" s="51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47" width="9.7109375" collapsed="true"/>
    <col min="3" max="3" bestFit="true" customWidth="true" style="47" width="8.5703125" collapsed="true"/>
    <col min="4" max="4" bestFit="true" customWidth="true" style="47" width="15.0" collapsed="true"/>
    <col min="5" max="5" bestFit="true" customWidth="true" style="47" width="8.0" collapsed="true"/>
    <col min="6" max="6" bestFit="true" customWidth="true" style="47" width="39.0" collapsed="true"/>
    <col min="7" max="7" bestFit="true" customWidth="true" style="47" width="17.7109375" collapsed="true"/>
    <col min="8" max="10" bestFit="true" customWidth="true" style="47" width="255.7109375" collapsed="true"/>
    <col min="11" max="11" bestFit="true" customWidth="true" style="47" width="18.28515625" collapsed="true"/>
    <col min="12" max="16384" style="47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7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187</v>
      </c>
      <c r="B3" s="3" t="s">
        <v>198</v>
      </c>
      <c r="C3" s="3" t="s">
        <v>217</v>
      </c>
      <c r="D3" s="3" t="s">
        <v>211</v>
      </c>
      <c r="E3" s="3"/>
      <c r="F3" s="3"/>
      <c r="G3" s="49" t="s">
        <v>189</v>
      </c>
      <c r="H3" s="49" t="s">
        <v>190</v>
      </c>
      <c r="I3" s="49" t="s">
        <v>194</v>
      </c>
    </row>
    <row r="4" spans="1:9" ht="15.75" thickTop="1" x14ac:dyDescent="0.25">
      <c r="A4" s="3" t="s">
        <v>187</v>
      </c>
      <c r="B4" s="3" t="s">
        <v>199</v>
      </c>
      <c r="C4" s="3" t="s">
        <v>218</v>
      </c>
      <c r="D4" s="3" t="s">
        <v>224</v>
      </c>
      <c r="E4" s="3"/>
      <c r="F4" s="3"/>
    </row>
    <row r="5" spans="1:9" x14ac:dyDescent="0.25">
      <c r="A5" s="3" t="s">
        <v>187</v>
      </c>
      <c r="B5" s="3" t="s">
        <v>200</v>
      </c>
      <c r="C5" s="3" t="s">
        <v>219</v>
      </c>
      <c r="D5" s="3" t="s">
        <v>225</v>
      </c>
      <c r="E5" s="3"/>
      <c r="F5" s="3"/>
    </row>
    <row r="6" spans="1:9" x14ac:dyDescent="0.25">
      <c r="A6" s="3" t="s">
        <v>187</v>
      </c>
      <c r="B6" s="3" t="s">
        <v>201</v>
      </c>
      <c r="C6" s="3" t="s">
        <v>220</v>
      </c>
      <c r="D6" s="3" t="s">
        <v>226</v>
      </c>
      <c r="E6" s="3"/>
      <c r="F6" s="3"/>
    </row>
    <row r="7" spans="1:9" x14ac:dyDescent="0.25">
      <c r="A7" s="3" t="s">
        <v>187</v>
      </c>
      <c r="B7" s="3" t="s">
        <v>172</v>
      </c>
      <c r="C7" s="3" t="s">
        <v>220</v>
      </c>
      <c r="D7" s="3" t="s">
        <v>212</v>
      </c>
      <c r="E7" s="3"/>
      <c r="F7" s="3"/>
    </row>
    <row r="8" spans="1:9" x14ac:dyDescent="0.25">
      <c r="A8" s="3" t="s">
        <v>187</v>
      </c>
      <c r="B8" s="3" t="s">
        <v>202</v>
      </c>
      <c r="C8" s="3" t="s">
        <v>220</v>
      </c>
      <c r="D8" s="3" t="s">
        <v>227</v>
      </c>
      <c r="E8" s="3"/>
      <c r="F8" s="3"/>
    </row>
    <row r="9" spans="1:9" x14ac:dyDescent="0.25">
      <c r="A9" s="3" t="s">
        <v>187</v>
      </c>
      <c r="B9" s="3" t="s">
        <v>201</v>
      </c>
      <c r="C9" s="3" t="s">
        <v>220</v>
      </c>
      <c r="D9" s="3" t="s">
        <v>228</v>
      </c>
      <c r="E9" s="3"/>
      <c r="F9" s="3"/>
    </row>
    <row r="10" spans="1:9" x14ac:dyDescent="0.25">
      <c r="A10" s="3" t="s">
        <v>187</v>
      </c>
      <c r="B10" s="3" t="s">
        <v>172</v>
      </c>
      <c r="C10" s="3" t="s">
        <v>220</v>
      </c>
      <c r="D10" s="3" t="s">
        <v>213</v>
      </c>
      <c r="E10" s="3"/>
      <c r="F10" s="3"/>
    </row>
    <row r="11" spans="1:9" x14ac:dyDescent="0.25">
      <c r="A11" s="3" t="s">
        <v>187</v>
      </c>
      <c r="B11" s="3" t="s">
        <v>203</v>
      </c>
      <c r="C11" s="3" t="s">
        <v>220</v>
      </c>
      <c r="D11" s="3" t="s">
        <v>229</v>
      </c>
      <c r="E11" s="3"/>
      <c r="F11" s="3"/>
    </row>
    <row r="12" spans="1:9" x14ac:dyDescent="0.25">
      <c r="A12" s="3" t="s">
        <v>187</v>
      </c>
      <c r="B12" s="3" t="s">
        <v>204</v>
      </c>
      <c r="C12" s="3" t="s">
        <v>220</v>
      </c>
      <c r="D12" s="3" t="s">
        <v>214</v>
      </c>
      <c r="E12" s="3"/>
      <c r="F12" s="3"/>
    </row>
    <row r="13" spans="1:9" x14ac:dyDescent="0.25">
      <c r="A13" s="3" t="s">
        <v>187</v>
      </c>
      <c r="B13" s="3" t="s">
        <v>172</v>
      </c>
      <c r="C13" s="3" t="s">
        <v>220</v>
      </c>
      <c r="D13" s="3" t="s">
        <v>215</v>
      </c>
      <c r="E13" s="3"/>
      <c r="F13" s="3"/>
    </row>
    <row r="14" spans="1:9" x14ac:dyDescent="0.25">
      <c r="A14" s="3" t="s">
        <v>187</v>
      </c>
      <c r="B14" s="3" t="s">
        <v>205</v>
      </c>
      <c r="C14" s="3" t="s">
        <v>220</v>
      </c>
      <c r="D14" s="3" t="s">
        <v>230</v>
      </c>
      <c r="E14" s="3"/>
      <c r="F14" s="3"/>
    </row>
    <row r="15" spans="1:9" x14ac:dyDescent="0.25">
      <c r="A15" s="3" t="s">
        <v>187</v>
      </c>
      <c r="B15" s="3" t="s">
        <v>206</v>
      </c>
      <c r="C15" s="3" t="s">
        <v>220</v>
      </c>
      <c r="D15" s="3" t="s">
        <v>231</v>
      </c>
      <c r="E15" s="3"/>
      <c r="F15" s="3"/>
    </row>
    <row r="16" spans="1:9" x14ac:dyDescent="0.25">
      <c r="A16" s="3" t="s">
        <v>187</v>
      </c>
      <c r="B16" s="3" t="s">
        <v>173</v>
      </c>
      <c r="C16" s="3" t="s">
        <v>220</v>
      </c>
      <c r="D16" s="3" t="s">
        <v>232</v>
      </c>
      <c r="E16" s="3"/>
      <c r="F16" s="3"/>
    </row>
    <row r="17" spans="1:6" x14ac:dyDescent="0.25">
      <c r="A17" s="3" t="s">
        <v>187</v>
      </c>
      <c r="B17" s="3" t="s">
        <v>173</v>
      </c>
      <c r="C17" s="3" t="s">
        <v>220</v>
      </c>
      <c r="D17" s="3" t="s">
        <v>216</v>
      </c>
      <c r="E17" s="3"/>
      <c r="F17" s="3"/>
    </row>
    <row r="18" spans="1:6" x14ac:dyDescent="0.25">
      <c r="A18" s="3" t="s">
        <v>187</v>
      </c>
      <c r="B18" s="3" t="s">
        <v>207</v>
      </c>
      <c r="C18" s="3" t="s">
        <v>221</v>
      </c>
      <c r="D18" s="3" t="s">
        <v>233</v>
      </c>
      <c r="E18" s="3"/>
      <c r="F18" s="3"/>
    </row>
    <row r="19" spans="1:6" x14ac:dyDescent="0.25">
      <c r="A19" s="3" t="s">
        <v>187</v>
      </c>
      <c r="B19" s="3" t="s">
        <v>175</v>
      </c>
      <c r="C19" s="3" t="s">
        <v>222</v>
      </c>
      <c r="D19" s="3" t="s">
        <v>234</v>
      </c>
      <c r="E19" s="3"/>
      <c r="F19" s="3"/>
    </row>
    <row r="20" spans="1:6" x14ac:dyDescent="0.25">
      <c r="A20" s="3" t="s">
        <v>187</v>
      </c>
      <c r="B20" s="3" t="s">
        <v>175</v>
      </c>
      <c r="C20" s="3" t="s">
        <v>222</v>
      </c>
      <c r="D20" s="3" t="s">
        <v>235</v>
      </c>
      <c r="E20" s="3"/>
      <c r="F20" s="3"/>
    </row>
    <row r="21" spans="1:6" x14ac:dyDescent="0.25">
      <c r="A21" s="3" t="s">
        <v>187</v>
      </c>
      <c r="B21" s="3" t="s">
        <v>175</v>
      </c>
      <c r="C21" s="3" t="s">
        <v>222</v>
      </c>
      <c r="D21" s="3" t="s">
        <v>236</v>
      </c>
      <c r="E21" s="3"/>
      <c r="F21" s="3"/>
    </row>
    <row r="22" spans="1:6" x14ac:dyDescent="0.25">
      <c r="A22" s="3" t="s">
        <v>187</v>
      </c>
      <c r="B22" s="3" t="s">
        <v>175</v>
      </c>
      <c r="C22" s="3" t="s">
        <v>222</v>
      </c>
      <c r="D22" s="3" t="s">
        <v>237</v>
      </c>
      <c r="E22" s="3"/>
      <c r="F22" s="3"/>
    </row>
    <row r="23" spans="1:6" x14ac:dyDescent="0.25">
      <c r="A23" s="3" t="s">
        <v>187</v>
      </c>
      <c r="B23" s="3" t="s">
        <v>175</v>
      </c>
      <c r="C23" s="3" t="s">
        <v>222</v>
      </c>
      <c r="D23" s="3" t="s">
        <v>238</v>
      </c>
      <c r="E23" s="3"/>
      <c r="F23" s="3"/>
    </row>
    <row r="24" spans="1:6" x14ac:dyDescent="0.25">
      <c r="A24" s="3" t="s">
        <v>187</v>
      </c>
      <c r="B24" s="3" t="s">
        <v>175</v>
      </c>
      <c r="C24" s="3" t="s">
        <v>222</v>
      </c>
      <c r="D24" s="3" t="s">
        <v>239</v>
      </c>
      <c r="E24" s="3"/>
      <c r="F24" s="3"/>
    </row>
    <row r="25" spans="1:6" x14ac:dyDescent="0.25">
      <c r="A25" s="3" t="s">
        <v>187</v>
      </c>
      <c r="B25" s="3" t="s">
        <v>175</v>
      </c>
      <c r="C25" s="3" t="s">
        <v>222</v>
      </c>
      <c r="D25" s="3" t="s">
        <v>240</v>
      </c>
      <c r="E25" s="3"/>
      <c r="F25" s="3"/>
    </row>
    <row r="26" spans="1:6" x14ac:dyDescent="0.25">
      <c r="A26" s="3" t="s">
        <v>187</v>
      </c>
      <c r="B26" s="3" t="s">
        <v>175</v>
      </c>
      <c r="C26" s="3" t="s">
        <v>222</v>
      </c>
      <c r="D26" s="3" t="s">
        <v>241</v>
      </c>
      <c r="E26" s="3"/>
      <c r="F26" s="3"/>
    </row>
    <row r="27" spans="1:6" x14ac:dyDescent="0.25">
      <c r="A27" s="3" t="s">
        <v>187</v>
      </c>
      <c r="B27" s="3" t="s">
        <v>175</v>
      </c>
      <c r="C27" s="3" t="s">
        <v>220</v>
      </c>
      <c r="D27" s="3" t="s">
        <v>242</v>
      </c>
      <c r="E27" s="3"/>
      <c r="F27" s="3"/>
    </row>
    <row r="28" spans="1:6" x14ac:dyDescent="0.25">
      <c r="A28" s="3" t="s">
        <v>187</v>
      </c>
      <c r="B28" s="3" t="s">
        <v>205</v>
      </c>
      <c r="C28" s="3" t="s">
        <v>220</v>
      </c>
      <c r="D28" s="3" t="s">
        <v>243</v>
      </c>
      <c r="E28" s="3"/>
      <c r="F28" s="3"/>
    </row>
    <row r="29" spans="1:6" x14ac:dyDescent="0.25">
      <c r="A29" s="3" t="s">
        <v>187</v>
      </c>
      <c r="B29" s="3" t="s">
        <v>205</v>
      </c>
      <c r="C29" s="3" t="s">
        <v>220</v>
      </c>
      <c r="D29" s="3" t="s">
        <v>244</v>
      </c>
      <c r="E29" s="3"/>
      <c r="F29" s="3"/>
    </row>
    <row r="30" spans="1:6" x14ac:dyDescent="0.25">
      <c r="A30" s="3" t="s">
        <v>187</v>
      </c>
      <c r="B30" s="3" t="s">
        <v>205</v>
      </c>
      <c r="C30" s="3" t="s">
        <v>220</v>
      </c>
      <c r="D30" s="3" t="s">
        <v>245</v>
      </c>
      <c r="E30" s="3"/>
      <c r="F30" s="3"/>
    </row>
    <row r="31" spans="1:6" x14ac:dyDescent="0.25">
      <c r="A31" s="3" t="s">
        <v>187</v>
      </c>
      <c r="B31" s="3" t="s">
        <v>205</v>
      </c>
      <c r="C31" s="3" t="s">
        <v>220</v>
      </c>
      <c r="D31" s="3" t="s">
        <v>246</v>
      </c>
      <c r="E31" s="3"/>
      <c r="F31" s="3"/>
    </row>
    <row r="32" spans="1:6" x14ac:dyDescent="0.25">
      <c r="A32" s="3" t="s">
        <v>187</v>
      </c>
      <c r="B32" s="3" t="s">
        <v>205</v>
      </c>
      <c r="C32" s="3" t="s">
        <v>220</v>
      </c>
      <c r="D32" s="3" t="s">
        <v>247</v>
      </c>
      <c r="E32" s="3"/>
      <c r="F32" s="3"/>
    </row>
    <row r="33" spans="1:6" x14ac:dyDescent="0.25">
      <c r="A33" s="3" t="s">
        <v>187</v>
      </c>
      <c r="B33" s="3" t="s">
        <v>205</v>
      </c>
      <c r="C33" s="3" t="s">
        <v>220</v>
      </c>
      <c r="D33" s="3" t="s">
        <v>248</v>
      </c>
      <c r="E33" s="3"/>
      <c r="F33" s="3"/>
    </row>
    <row r="34" spans="1:6" x14ac:dyDescent="0.25">
      <c r="A34" s="3" t="s">
        <v>187</v>
      </c>
      <c r="B34" s="3" t="s">
        <v>205</v>
      </c>
      <c r="C34" s="3" t="s">
        <v>220</v>
      </c>
      <c r="D34" s="3" t="s">
        <v>249</v>
      </c>
      <c r="E34" s="3"/>
      <c r="F34" s="3"/>
    </row>
    <row r="35" spans="1:6" x14ac:dyDescent="0.25">
      <c r="A35" s="3" t="s">
        <v>187</v>
      </c>
      <c r="B35" s="3" t="s">
        <v>175</v>
      </c>
      <c r="C35" s="3" t="s">
        <v>222</v>
      </c>
      <c r="D35" s="3" t="s">
        <v>250</v>
      </c>
      <c r="E35" s="3"/>
      <c r="F35" s="3"/>
    </row>
    <row r="36" spans="1:6" x14ac:dyDescent="0.25">
      <c r="A36" s="3" t="s">
        <v>187</v>
      </c>
      <c r="B36" s="3" t="s">
        <v>175</v>
      </c>
      <c r="C36" s="3" t="s">
        <v>222</v>
      </c>
      <c r="D36" s="3" t="s">
        <v>251</v>
      </c>
      <c r="E36" s="3"/>
      <c r="F36" s="3"/>
    </row>
    <row r="37" spans="1:6" x14ac:dyDescent="0.25">
      <c r="A37" s="3" t="s">
        <v>187</v>
      </c>
      <c r="B37" s="3" t="s">
        <v>175</v>
      </c>
      <c r="C37" s="3" t="s">
        <v>222</v>
      </c>
      <c r="D37" s="3" t="s">
        <v>252</v>
      </c>
      <c r="E37" s="3"/>
      <c r="F37" s="3"/>
    </row>
    <row r="38" spans="1:6" x14ac:dyDescent="0.25">
      <c r="A38" s="3" t="s">
        <v>187</v>
      </c>
      <c r="B38" s="3" t="s">
        <v>175</v>
      </c>
      <c r="C38" s="3" t="s">
        <v>222</v>
      </c>
      <c r="D38" s="3" t="s">
        <v>253</v>
      </c>
      <c r="E38" s="3"/>
      <c r="F38" s="3"/>
    </row>
    <row r="39" spans="1:6" x14ac:dyDescent="0.25">
      <c r="A39" s="3" t="s">
        <v>187</v>
      </c>
      <c r="B39" s="3" t="s">
        <v>175</v>
      </c>
      <c r="C39" s="3" t="s">
        <v>222</v>
      </c>
      <c r="D39" s="3" t="s">
        <v>254</v>
      </c>
      <c r="E39" s="3"/>
      <c r="F39" s="3"/>
    </row>
    <row r="40" spans="1:6" x14ac:dyDescent="0.25">
      <c r="A40" s="3" t="s">
        <v>187</v>
      </c>
      <c r="B40" s="3" t="s">
        <v>175</v>
      </c>
      <c r="C40" s="3" t="s">
        <v>222</v>
      </c>
      <c r="D40" s="3" t="s">
        <v>255</v>
      </c>
      <c r="E40" s="3"/>
      <c r="F40" s="3"/>
    </row>
    <row r="41" spans="1:6" x14ac:dyDescent="0.25">
      <c r="A41" s="3" t="s">
        <v>187</v>
      </c>
      <c r="B41" s="3" t="s">
        <v>175</v>
      </c>
      <c r="C41" s="3" t="s">
        <v>222</v>
      </c>
      <c r="D41" s="3" t="s">
        <v>256</v>
      </c>
      <c r="E41" s="3"/>
      <c r="F41" s="3"/>
    </row>
    <row r="42" spans="1:6" x14ac:dyDescent="0.25">
      <c r="A42" s="3" t="s">
        <v>187</v>
      </c>
      <c r="B42" s="3" t="s">
        <v>175</v>
      </c>
      <c r="C42" s="3" t="s">
        <v>218</v>
      </c>
      <c r="D42" s="3" t="s">
        <v>257</v>
      </c>
      <c r="E42" s="3"/>
      <c r="F42" s="3"/>
    </row>
    <row r="43" spans="1:6" x14ac:dyDescent="0.25">
      <c r="A43" s="3" t="s">
        <v>187</v>
      </c>
      <c r="B43" s="3" t="s">
        <v>175</v>
      </c>
      <c r="C43" s="3" t="s">
        <v>218</v>
      </c>
      <c r="D43" s="3" t="s">
        <v>258</v>
      </c>
      <c r="E43" s="3"/>
      <c r="F43" s="3"/>
    </row>
    <row r="44" spans="1:6" x14ac:dyDescent="0.25">
      <c r="A44" s="3" t="s">
        <v>187</v>
      </c>
      <c r="B44" s="3" t="s">
        <v>175</v>
      </c>
      <c r="C44" s="3" t="s">
        <v>218</v>
      </c>
      <c r="D44" s="3" t="s">
        <v>259</v>
      </c>
      <c r="E44" s="3"/>
      <c r="F44" s="3"/>
    </row>
    <row r="45" spans="1:6" x14ac:dyDescent="0.25">
      <c r="A45" s="3" t="s">
        <v>187</v>
      </c>
      <c r="B45" s="3" t="s">
        <v>175</v>
      </c>
      <c r="C45" s="3" t="s">
        <v>218</v>
      </c>
      <c r="D45" s="3" t="s">
        <v>260</v>
      </c>
      <c r="E45" s="3"/>
      <c r="F45" s="3"/>
    </row>
    <row r="46" spans="1:6" x14ac:dyDescent="0.25">
      <c r="A46" s="3" t="s">
        <v>187</v>
      </c>
      <c r="B46" s="3" t="s">
        <v>175</v>
      </c>
      <c r="C46" s="3" t="s">
        <v>218</v>
      </c>
      <c r="D46" s="3" t="s">
        <v>261</v>
      </c>
      <c r="E46" s="3"/>
      <c r="F46" s="3"/>
    </row>
    <row r="47" spans="1:6" x14ac:dyDescent="0.25">
      <c r="A47" s="3" t="s">
        <v>187</v>
      </c>
      <c r="B47" s="3" t="s">
        <v>175</v>
      </c>
      <c r="C47" s="3" t="s">
        <v>218</v>
      </c>
      <c r="D47" s="3" t="s">
        <v>262</v>
      </c>
      <c r="E47" s="3"/>
      <c r="F47" s="3"/>
    </row>
    <row r="48" spans="1:6" x14ac:dyDescent="0.25">
      <c r="A48" s="3" t="s">
        <v>187</v>
      </c>
      <c r="B48" s="3" t="s">
        <v>206</v>
      </c>
      <c r="C48" s="3" t="s">
        <v>220</v>
      </c>
      <c r="D48" s="3" t="s">
        <v>263</v>
      </c>
      <c r="E48" s="3"/>
      <c r="F48" s="3"/>
    </row>
    <row r="49" spans="1:6" x14ac:dyDescent="0.25">
      <c r="A49" s="3" t="s">
        <v>187</v>
      </c>
      <c r="B49" s="3" t="s">
        <v>208</v>
      </c>
      <c r="C49" s="3" t="s">
        <v>220</v>
      </c>
      <c r="D49" s="3" t="s">
        <v>264</v>
      </c>
      <c r="E49" s="3"/>
      <c r="F49" s="3"/>
    </row>
    <row r="50" spans="1:6" x14ac:dyDescent="0.25">
      <c r="A50" s="3" t="s">
        <v>187</v>
      </c>
      <c r="B50" s="3" t="s">
        <v>175</v>
      </c>
      <c r="C50" s="3" t="s">
        <v>218</v>
      </c>
      <c r="D50" s="3" t="s">
        <v>265</v>
      </c>
      <c r="E50" s="3"/>
      <c r="F50" s="3"/>
    </row>
    <row r="51" spans="1:6" x14ac:dyDescent="0.25">
      <c r="A51" s="3" t="s">
        <v>187</v>
      </c>
      <c r="B51" s="3" t="s">
        <v>209</v>
      </c>
      <c r="C51" s="3" t="s">
        <v>220</v>
      </c>
      <c r="D51" s="3" t="s">
        <v>266</v>
      </c>
      <c r="E51" s="3"/>
      <c r="F51" s="3"/>
    </row>
    <row r="52" spans="1:6" x14ac:dyDescent="0.25">
      <c r="A52" s="3" t="s">
        <v>187</v>
      </c>
      <c r="B52" s="3" t="s">
        <v>210</v>
      </c>
      <c r="C52" s="3" t="s">
        <v>217</v>
      </c>
      <c r="D52" s="3" t="s">
        <v>223</v>
      </c>
      <c r="E52" s="3"/>
      <c r="F52" s="3"/>
    </row>
    <row r="53" spans="1:6" x14ac:dyDescent="0.25">
      <c r="A53" s="3" t="s">
        <v>187</v>
      </c>
      <c r="B53" s="3" t="s">
        <v>175</v>
      </c>
      <c r="C53" s="3" t="s">
        <v>218</v>
      </c>
      <c r="D53" s="3" t="s">
        <v>267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187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187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187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187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187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187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187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187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187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187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187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187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187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187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187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187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187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187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187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187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187</v>
      </c>
      <c r="B23" s="48" t="s">
        <v>188</v>
      </c>
      <c r="C23" s="48"/>
      <c r="D23" s="48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6" t="s">
        <v>185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Kokobe Bineyam</cp:lastModifiedBy>
  <dcterms:modified xsi:type="dcterms:W3CDTF">2016-04-04T20:20:13Z</dcterms:modified>
</cp:coreProperties>
</file>
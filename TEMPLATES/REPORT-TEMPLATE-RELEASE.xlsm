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firstSheet="1" activeTab="1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myStatus" sheetId="13" r:id="rId13"/>
  </sheets>
  <externalReferences>
    <externalReference r:id="rId14"/>
  </externalReferences>
  <definedNames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<sst xmlns="http://schemas.openxmlformats.org/spreadsheetml/2006/main" count="495" uniqueCount="190">
  <si>
    <t>Todo</t>
  </si>
  <si>
    <t>WIP</t>
  </si>
  <si>
    <t>Done</t>
  </si>
  <si>
    <t>Status</t>
  </si>
  <si>
    <t>Synopsis</t>
  </si>
  <si>
    <t>Steps</t>
  </si>
  <si>
    <t>Bypass</t>
  </si>
  <si>
    <t>Comments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</si>
  <si>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</si>
  <si>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</si>
  <si>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</si>
  <si>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</si>
  <si>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</si>
  <si>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</si>
  <si>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</si>
  <si>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</si>
  <si>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</si>
  <si>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</si>
  <si>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</si>
  <si>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</si>
  <si>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</si>
  <si>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</si>
  <si>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</si>
  <si>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</si>
  <si>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</si>
  <si>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</si>
  <si>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</si>
  <si>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</si>
  <si>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</si>
  <si>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</si>
  <si>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</si>
  <si>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</si>
  <si>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</si>
  <si>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</si>
  <si>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</si>
  <si>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</si>
  <si>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</si>
  <si>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</si>
  <si>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</si>
  <si>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</si>
  <si>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</si>
  <si>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</si>
  <si>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</si>
  <si>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</si>
  <si>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</si>
  <si>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</si>
  <si>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</si>
  <si>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</si>
  <si>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</si>
  <si>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</si>
  <si>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</si>
  <si>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</si>
  <si>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High</t>
  </si>
  <si>
    <t>Group</t>
  </si>
  <si>
    <t>Environment</t>
  </si>
  <si>
    <t>Summary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</si>
  <si>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</si>
  <si>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</si>
  <si>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</si>
  <si>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</si>
  <si>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</si>
  <si>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</si>
  <si>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</si>
  <si>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</si>
  <si>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</si>
  <si>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</si>
  <si>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</si>
  <si>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</si>
  <si>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</si>
  <si>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</si>
  <si>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</si>
  <si>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</si>
  <si>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</si>
  <si>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</si>
  <si>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</si>
  <si>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</si>
  <si>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</si>
  <si>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</si>
  <si>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</si>
  <si>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</si>
  <si>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</si>
  <si>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</si>
  <si>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</si>
  <si>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</si>
  <si>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</si>
  <si>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</si>
  <si>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</si>
  <si>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</si>
  <si>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comment</t>
  </si>
  <si>
    <t>todo</t>
  </si>
  <si>
    <t>RESP</t>
  </si>
  <si>
    <t>Companies</t>
  </si>
  <si>
    <t>Substep</t>
  </si>
  <si>
    <t>no</t>
  </si>
  <si>
    <t>zOS dst</t>
  </si>
  <si>
    <t>zOS src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</si>
  <si>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</si>
  <si>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</si>
  <si>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</si>
  <si>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</si>
  <si>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</si>
  <si>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</si>
  <si>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</si>
  <si>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</si>
  <si>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</si>
  <si>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</si>
  <si>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</si>
  <si>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</si>
  <si>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</si>
  <si>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</si>
  <si>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</si>
  <si>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</si>
  <si>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</si>
  <si>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</si>
  <si>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</si>
  <si>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</si>
  <si>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</si>
  <si>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</si>
  <si>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</si>
  <si>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</si>
  <si>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</si>
  <si>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</si>
  <si>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</si>
  <si>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</si>
  <si>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</si>
  <si>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</si>
  <si>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</si>
  <si>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</si>
  <si>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</si>
  <si>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</si>
  <si>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</si>
  <si>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</si>
  <si>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</si>
  <si>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</si>
  <si>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</si>
  <si>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</si>
  <si>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</si>
  <si>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</si>
  <si>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</si>
  <si>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</si>
  <si>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</si>
  <si>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</si>
  <si>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</si>
  <si>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</si>
  <si>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</si>
  <si>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</si>
  <si>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</si>
  <si>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</si>
  <si>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</si>
  <si>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</si>
  <si>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</si>
  <si>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</si>
  <si>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</si>
  <si>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</si>
  <si>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</si>
  <si>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</si>
  <si>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</si>
  <si>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</si>
  <si>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</si>
  <si>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</si>
  <si>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</si>
  <si>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</si>
  <si>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</si>
  <si>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</si>
  <si>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</si>
  <si>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</si>
  <si>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</si>
  <si>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</si>
  <si>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</si>
  <si>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</si>
  <si>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</si>
  <si>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</si>
  <si>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</si>
  <si>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</si>
  <si>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</si>
  <si>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</si>
  <si>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</si>
  <si>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</si>
  <si>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</si>
  <si>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</si>
  <si>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</si>
  <si>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</si>
  <si>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</si>
  <si>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</si>
  <si>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</si>
  <si>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</si>
  <si>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PRG</t>
  </si>
  <si>
    <t>BLD</t>
  </si>
  <si>
    <t>ACC</t>
  </si>
  <si>
    <t>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</si>
</sst>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6" applyNumberFormat="0" applyAlignment="0" applyProtection="0"/>
    <xf numFmtId="0" fontId="25" fillId="37" borderId="0" applyNumberFormat="0" applyBorder="0" applyAlignment="0" applyProtection="0"/>
  </cellStyleXfs>
  <cellXfs count="91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0" xfId="0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6" xfId="44" applyNumberFormat="1" applyFont="1" applyAlignment="1" applyProtection="1"/>
    <xf numFmtId="0" fontId="24" fillId="36" borderId="27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6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28" xfId="44" applyNumberFormat="1" applyFont="1" applyBorder="1" applyAlignment="1" applyProtection="1"/>
    <xf numFmtId="0" fontId="24" fillId="36" borderId="26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1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2" xfId="0" applyNumberFormat="1" applyFont="1" applyFill="1" applyBorder="1" applyAlignment="1">
      <alignment horizontal="right" vertical="center"/>
    </xf>
    <xf numFmtId="0" fontId="28" fillId="39" borderId="33" xfId="0" applyFont="1" applyFill="1" applyBorder="1" applyAlignment="1">
      <alignment vertical="center"/>
    </xf>
    <xf numFmtId="0" fontId="29" fillId="39" borderId="33" xfId="0" applyFont="1" applyFill="1" applyBorder="1" applyAlignment="1">
      <alignment horizontal="center" vertical="center"/>
    </xf>
    <xf numFmtId="0" fontId="31" fillId="39" borderId="33" xfId="0" applyFont="1" applyFill="1" applyBorder="1" applyAlignment="1">
      <alignment horizontal="center" vertical="center"/>
    </xf>
    <xf numFmtId="14" fontId="16" fillId="39" borderId="32" xfId="0" applyNumberFormat="1" applyFont="1" applyFill="1" applyBorder="1" applyAlignment="1">
      <alignment horizontal="right" vertical="center"/>
    </xf>
    <xf numFmtId="0" fontId="16" fillId="39" borderId="33" xfId="0" applyFont="1" applyFill="1" applyBorder="1" applyAlignment="1">
      <alignment vertical="center"/>
    </xf>
    <xf numFmtId="0" fontId="29" fillId="39" borderId="35" xfId="0" applyFont="1" applyFill="1" applyBorder="1" applyAlignment="1">
      <alignment horizontal="center" vertical="center"/>
    </xf>
    <xf numFmtId="0" fontId="16" fillId="39" borderId="36" xfId="0" applyFont="1" applyFill="1" applyBorder="1" applyAlignment="1">
      <alignment vertical="center"/>
    </xf>
    <xf numFmtId="0" fontId="29" fillId="39" borderId="37" xfId="0" applyFont="1" applyFill="1" applyBorder="1" applyAlignment="1">
      <alignment horizontal="center" vertical="center"/>
    </xf>
    <xf numFmtId="0" fontId="29" fillId="39" borderId="38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0" fillId="0" borderId="10" xfId="0" applyBorder="1" applyAlignment="1">
      <alignment horizontal="center" vertical="center"/>
    </xf>
    <xf numFmtId="0" fontId="13" fillId="7" borderId="24" xfId="13" applyBorder="1" applyAlignment="1">
      <alignment horizontal="center" vertical="center"/>
    </xf>
    <xf numFmtId="0" fontId="13" fillId="7" borderId="25" xfId="13" applyBorder="1" applyAlignment="1">
      <alignment horizontal="center" vertical="center"/>
    </xf>
    <xf numFmtId="0" fontId="17" fillId="25" borderId="23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29" xfId="0" applyFont="1" applyFill="1" applyBorder="1" applyAlignment="1">
      <alignment horizontal="center" vertical="center"/>
    </xf>
    <xf numFmtId="0" fontId="26" fillId="38" borderId="30" xfId="0" applyFont="1" applyFill="1" applyBorder="1" applyAlignment="1">
      <alignment horizontal="center" vertical="center"/>
    </xf>
    <xf numFmtId="0" fontId="32" fillId="38" borderId="29" xfId="0" applyFont="1" applyFill="1" applyBorder="1" applyAlignment="1">
      <alignment horizontal="center" vertical="center"/>
    </xf>
    <xf numFmtId="0" fontId="32" fillId="38" borderId="30" xfId="0" applyFont="1" applyFill="1" applyBorder="1" applyAlignment="1">
      <alignment horizontal="center" vertical="center"/>
    </xf>
    <xf numFmtId="0" fontId="32" fillId="38" borderId="34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4"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A24" sqref="A24"/>
    </sheetView>
  </sheetViews>
  <sheetFormatPr defaultRowHeight="15" x14ac:dyDescent="0.25"/>
  <cols>
    <col min="1" max="1" width="7.5703125" style="19" bestFit="1" customWidth="1"/>
    <col min="2" max="2" width="13.5703125" style="34" bestFit="1" customWidth="1"/>
    <col min="3" max="3" width="72.5703125" style="19" bestFit="1" customWidth="1"/>
    <col min="4" max="4" width="7.85546875" style="19" bestFit="1" customWidth="1"/>
    <col min="5" max="5" width="7.140625" style="19" bestFit="1" customWidth="1"/>
    <col min="6" max="6" width="16.42578125" style="19" bestFit="1" customWidth="1"/>
    <col min="7" max="7" width="15" style="19" bestFit="1" customWidth="1"/>
    <col min="8" max="8" width="5.7109375" style="19" bestFit="1" customWidth="1"/>
    <col min="9" max="9" width="73.28515625" style="19" bestFit="1" customWidth="1"/>
    <col min="10" max="10" width="100.28515625" style="19" bestFit="1" customWidth="1"/>
    <col min="11" max="11" width="58.85546875" style="19" customWidth="1"/>
    <col min="12" max="16384" width="9.140625" style="19"/>
  </cols>
  <sheetData>
    <row r="1" spans="1:10" ht="3.75" customHeight="1" x14ac:dyDescent="0.25">
      <c r="A1" s="15"/>
      <c r="B1" s="33"/>
      <c r="C1" s="16"/>
      <c r="D1" s="16"/>
      <c r="E1" s="17"/>
      <c r="F1" s="18"/>
      <c r="G1" s="18"/>
      <c r="H1" s="18"/>
      <c r="I1" s="18"/>
      <c r="J1"/>
    </row>
    <row r="2" spans="1:10" ht="15" customHeight="1" x14ac:dyDescent="0.25">
      <c r="A2" s="79" t="s">
        <v>4</v>
      </c>
      <c r="B2" s="80"/>
      <c r="C2" s="22" t="s">
        <v>96</v>
      </c>
      <c r="D2" s="23"/>
      <c r="E2" s="21" t="s">
        <v>58</v>
      </c>
      <c r="F2" s="19" t="s">
        <v>97</v>
      </c>
      <c r="G2" s="21" t="s">
        <v>59</v>
      </c>
      <c r="H2" s="19" t="s">
        <v>98</v>
      </c>
      <c r="I2" s="24"/>
      <c r="J2"/>
    </row>
    <row r="3" spans="1:10" ht="3.75" customHeight="1" x14ac:dyDescent="0.25">
      <c r="A3" s="20"/>
      <c r="B3" s="35"/>
      <c r="C3" s="23"/>
      <c r="D3" s="23"/>
      <c r="E3" s="23"/>
      <c r="F3" s="23"/>
      <c r="G3" s="23"/>
      <c r="H3" s="23"/>
      <c r="I3" s="24"/>
      <c r="J3"/>
    </row>
    <row r="4" spans="1:10" ht="15" customHeight="1" x14ac:dyDescent="0.25">
      <c r="A4" s="79" t="s">
        <v>61</v>
      </c>
      <c r="B4" s="81"/>
      <c r="C4" s="40"/>
      <c r="D4" s="23"/>
      <c r="E4" s="21" t="s">
        <v>3</v>
      </c>
      <c r="F4" s="22" t="s">
        <v>89</v>
      </c>
      <c r="G4" s="21" t="s">
        <v>60</v>
      </c>
      <c r="H4" s="22" t="s">
        <v>49</v>
      </c>
      <c r="I4" s="24"/>
      <c r="J4"/>
    </row>
    <row r="5" spans="1:10" ht="3.75" customHeight="1" x14ac:dyDescent="0.25">
      <c r="A5" s="20"/>
      <c r="B5" s="35"/>
      <c r="C5" s="23"/>
      <c r="D5" s="23"/>
      <c r="E5" s="24"/>
      <c r="F5" s="23"/>
      <c r="G5" s="23"/>
      <c r="H5" s="23"/>
      <c r="I5" s="24"/>
      <c r="J5"/>
    </row>
    <row r="6" spans="1:10" ht="3.75" customHeight="1" x14ac:dyDescent="0.25">
      <c r="A6" s="20"/>
      <c r="B6" s="35"/>
      <c r="C6" s="23"/>
      <c r="D6" s="23"/>
      <c r="E6" s="23"/>
      <c r="F6" s="23"/>
      <c r="G6" s="23"/>
      <c r="H6" s="23"/>
      <c r="I6" s="24"/>
      <c r="J6"/>
    </row>
    <row r="7" spans="1:10" ht="15" customHeight="1" x14ac:dyDescent="0.25">
      <c r="A7" s="79" t="s">
        <v>84</v>
      </c>
      <c r="B7" s="80"/>
      <c r="C7" s="42"/>
      <c r="D7" s="23"/>
      <c r="E7" s="21" t="s">
        <v>62</v>
      </c>
      <c r="F7" s="25"/>
      <c r="G7" s="21" t="s">
        <v>63</v>
      </c>
      <c r="H7" s="40"/>
      <c r="I7" s="24"/>
      <c r="J7"/>
    </row>
    <row r="8" spans="1:10" ht="3.75" customHeight="1" x14ac:dyDescent="0.25">
      <c r="A8" s="20"/>
      <c r="B8" s="35"/>
      <c r="C8" s="23"/>
      <c r="D8" s="23"/>
      <c r="E8" s="21"/>
      <c r="F8" s="24"/>
      <c r="G8" s="24"/>
      <c r="H8" s="21"/>
      <c r="I8" s="24"/>
      <c r="J8"/>
    </row>
    <row r="9" spans="1:10" ht="15" customHeight="1" x14ac:dyDescent="0.25">
      <c r="A9" s="79" t="s">
        <v>64</v>
      </c>
      <c r="B9" s="80"/>
      <c r="C9" t="s">
        <v>99</v>
      </c>
      <c r="D9" s="23"/>
      <c r="E9" s="21" t="s">
        <v>95</v>
      </c>
      <c r="F9" s="25" t="s">
        <v>93</v>
      </c>
      <c r="G9" s="21" t="s">
        <v>94</v>
      </c>
      <c r="H9" s="25" t="s">
        <v>93</v>
      </c>
      <c r="I9" s="24"/>
      <c r="J9"/>
    </row>
    <row r="10" spans="1:10" ht="3.75" customHeight="1" x14ac:dyDescent="0.25">
      <c r="A10" s="20"/>
      <c r="B10" s="35"/>
      <c r="C10" s="23"/>
      <c r="D10" s="23"/>
      <c r="E10" s="24"/>
      <c r="F10" s="23"/>
      <c r="G10" s="23"/>
      <c r="H10" s="23"/>
      <c r="I10" s="23"/>
      <c r="J10"/>
    </row>
    <row r="11" spans="1:10" ht="15" customHeight="1" x14ac:dyDescent="0.25">
      <c r="A11" s="79" t="s">
        <v>85</v>
      </c>
      <c r="B11" s="80"/>
      <c r="C11" s="39"/>
      <c r="D11" s="26"/>
      <c r="E11" s="26"/>
      <c r="F11" s="26"/>
      <c r="G11" s="26"/>
      <c r="H11" s="26"/>
      <c r="I11" s="27"/>
      <c r="J11"/>
    </row>
    <row r="12" spans="1:10" ht="3.75" customHeight="1" thickBot="1" x14ac:dyDescent="0.3">
      <c r="A12" s="28"/>
      <c r="B12" s="36"/>
      <c r="C12" s="29"/>
      <c r="D12" s="29"/>
      <c r="E12" s="30"/>
      <c r="F12" s="30"/>
      <c r="G12" s="30"/>
      <c r="H12" s="30"/>
      <c r="I12" s="30"/>
      <c r="J12"/>
    </row>
    <row r="13" spans="1:10" ht="15.75" thickBot="1" x14ac:dyDescent="0.3">
      <c r="A13" s="78" t="str">
        <f>CONCATENATE("cd $SH/rmm_32",";","pk_RMM_execProc RMM.cfg RMM_upgradeEnv ",C9)</f>
        <v>cd $SH/rmm_32;pk_RMM_execProc RMM.cfg RMM_upgradeEnv PACK-XXX-XXXX</v>
      </c>
      <c r="B13" s="78"/>
      <c r="C13" s="78"/>
      <c r="D13" s="78"/>
      <c r="E13" s="78"/>
      <c r="F13" s="78"/>
      <c r="G13" s="78"/>
      <c r="H13" s="78"/>
      <c r="I13" s="78"/>
    </row>
    <row r="14" spans="1:10" ht="15" customHeight="1" thickTop="1" x14ac:dyDescent="0.25">
      <c r="A14" s="31" t="s">
        <v>3</v>
      </c>
      <c r="B14" s="45" t="s">
        <v>72</v>
      </c>
      <c r="C14" s="31" t="s">
        <v>5</v>
      </c>
      <c r="D14" s="45" t="s">
        <v>65</v>
      </c>
      <c r="E14" s="45" t="s">
        <v>66</v>
      </c>
      <c r="F14" s="76" t="s">
        <v>7</v>
      </c>
      <c r="G14" s="77"/>
      <c r="H14" s="77"/>
      <c r="I14" s="77"/>
    </row>
    <row r="15" spans="1:10" x14ac:dyDescent="0.25">
      <c r="A15" s="32" t="s">
        <v>0</v>
      </c>
      <c r="B15" s="37" t="s">
        <v>73</v>
      </c>
      <c r="C15" s="32" t="s">
        <v>67</v>
      </c>
      <c r="D15" s="41"/>
      <c r="E15" s="41"/>
      <c r="F15" s="75"/>
      <c r="G15" s="75"/>
      <c r="H15" s="75"/>
      <c r="I15" s="75"/>
    </row>
    <row r="16" spans="1:10" x14ac:dyDescent="0.25">
      <c r="A16" s="32" t="s">
        <v>89</v>
      </c>
      <c r="B16" s="37" t="s">
        <v>73</v>
      </c>
      <c r="C16" s="32" t="s">
        <v>69</v>
      </c>
      <c r="D16" s="41"/>
      <c r="E16" s="32"/>
      <c r="F16" s="75"/>
      <c r="G16" s="75"/>
      <c r="H16" s="75"/>
      <c r="I16" s="75"/>
    </row>
    <row r="17" spans="1:9" x14ac:dyDescent="0.25">
      <c r="A17" s="32" t="s">
        <v>89</v>
      </c>
      <c r="B17" s="37" t="s">
        <v>73</v>
      </c>
      <c r="C17" s="32" t="s">
        <v>68</v>
      </c>
      <c r="D17" s="41"/>
      <c r="E17" s="41"/>
      <c r="F17" s="75"/>
      <c r="G17" s="75"/>
      <c r="H17" s="75"/>
      <c r="I17" s="75"/>
    </row>
    <row r="18" spans="1:9" x14ac:dyDescent="0.25">
      <c r="A18" s="32" t="s">
        <v>89</v>
      </c>
      <c r="B18" s="32" t="s">
        <v>79</v>
      </c>
      <c r="C18" s="32" t="s">
        <v>70</v>
      </c>
      <c r="D18" s="41"/>
      <c r="E18" s="41"/>
      <c r="F18" s="75"/>
      <c r="G18" s="75"/>
      <c r="H18" s="75"/>
      <c r="I18" s="75"/>
    </row>
    <row r="19" spans="1:9" x14ac:dyDescent="0.25">
      <c r="A19" s="32" t="s">
        <v>89</v>
      </c>
      <c r="B19" s="37" t="s">
        <v>74</v>
      </c>
      <c r="C19" s="32" t="str">
        <f>CONCATENATE("Generate the transfer operations on ",F2)</f>
        <v>Generate the transfer operations on From here</v>
      </c>
      <c r="D19" s="41"/>
      <c r="E19" s="41"/>
      <c r="F19" s="75"/>
      <c r="G19" s="75"/>
      <c r="H19" s="75"/>
      <c r="I19" s="75"/>
    </row>
    <row r="20" spans="1:9" x14ac:dyDescent="0.25">
      <c r="A20" s="32" t="s">
        <v>89</v>
      </c>
      <c r="B20" s="37" t="s">
        <v>74</v>
      </c>
      <c r="C20" s="32" t="str">
        <f>CONCATENATE("Check the generated transfer operations for pack ",C11)</f>
        <v xml:space="preserve">Check the generated transfer operations for pack </v>
      </c>
      <c r="D20" s="41"/>
      <c r="E20" s="41"/>
      <c r="F20" s="75"/>
      <c r="G20" s="75"/>
      <c r="H20" s="75"/>
      <c r="I20" s="75"/>
    </row>
    <row r="21" spans="1:9" x14ac:dyDescent="0.25">
      <c r="A21" s="32" t="s">
        <v>89</v>
      </c>
      <c r="B21" s="37" t="s">
        <v>74</v>
      </c>
      <c r="C21" s="32" t="s">
        <v>81</v>
      </c>
      <c r="D21" s="41"/>
      <c r="E21" s="41"/>
      <c r="F21" s="75"/>
      <c r="G21" s="75"/>
      <c r="H21" s="75"/>
      <c r="I21" s="75"/>
    </row>
    <row r="22" spans="1:9" x14ac:dyDescent="0.25">
      <c r="A22" s="32" t="s">
        <v>89</v>
      </c>
      <c r="B22" s="37" t="s">
        <v>74</v>
      </c>
      <c r="C22" s="32" t="s">
        <v>80</v>
      </c>
      <c r="D22" s="41"/>
      <c r="E22" s="41"/>
      <c r="F22" s="75"/>
      <c r="G22" s="75"/>
      <c r="H22" s="75"/>
      <c r="I22" s="75"/>
    </row>
    <row r="23" spans="1:9" x14ac:dyDescent="0.25">
      <c r="A23" s="32" t="s">
        <v>89</v>
      </c>
      <c r="B23" s="37" t="s">
        <v>75</v>
      </c>
      <c r="C23" s="32" t="str">
        <f>CONCATENATE("Add the Synergy tasks to the manual folder of ",H2)</f>
        <v>Add the Synergy tasks to the manual folder of To here</v>
      </c>
      <c r="D23" s="41"/>
      <c r="E23" s="41"/>
      <c r="F23" s="75"/>
      <c r="G23" s="75"/>
      <c r="H23" s="75"/>
      <c r="I23" s="75"/>
    </row>
    <row r="24" spans="1:9" x14ac:dyDescent="0.25">
      <c r="A24" s="32" t="s">
        <v>89</v>
      </c>
      <c r="B24" s="37" t="s">
        <v>75</v>
      </c>
      <c r="C24" s="32" t="str">
        <f>CONCATENATE("Update the Synergy project THALER~",H2)</f>
        <v>Update the Synergy project THALER~To here</v>
      </c>
      <c r="D24" s="41"/>
      <c r="E24" s="41"/>
      <c r="F24" s="75"/>
      <c r="G24" s="75"/>
      <c r="H24" s="75"/>
      <c r="I24" s="75"/>
    </row>
    <row r="25" spans="1:9" x14ac:dyDescent="0.25">
      <c r="A25" s="32" t="s">
        <v>89</v>
      </c>
      <c r="B25" s="37" t="s">
        <v>75</v>
      </c>
      <c r="C25" s="32" t="str">
        <f>CONCATENATE("Detect the conflicts of the Synergy project THALER~",H2)</f>
        <v>Detect the conflicts of the Synergy project THALER~To here</v>
      </c>
      <c r="D25" s="41"/>
      <c r="E25" s="41"/>
      <c r="F25" s="75"/>
      <c r="G25" s="75"/>
      <c r="H25" s="75"/>
      <c r="I25" s="75"/>
    </row>
    <row r="26" spans="1:9" x14ac:dyDescent="0.25">
      <c r="A26" s="32" t="s">
        <v>89</v>
      </c>
      <c r="B26" s="37" t="s">
        <v>75</v>
      </c>
      <c r="C26" s="32" t="str">
        <f>CONCATENATE(" Synchronize the Synergy work area of the project THALER~",H2)</f>
        <v xml:space="preserve"> Synchronize the Synergy work area of the project THALER~To here</v>
      </c>
      <c r="D26" s="41"/>
      <c r="E26" s="41"/>
      <c r="F26" s="75"/>
      <c r="G26" s="75"/>
      <c r="H26" s="75"/>
      <c r="I26" s="75"/>
    </row>
    <row r="27" spans="1:9" x14ac:dyDescent="0.25">
      <c r="A27" s="32" t="s">
        <v>89</v>
      </c>
      <c r="B27" s="37" t="s">
        <v>76</v>
      </c>
      <c r="C27" s="32" t="s">
        <v>82</v>
      </c>
      <c r="D27" s="41"/>
      <c r="E27" s="41"/>
      <c r="F27" s="75"/>
      <c r="G27" s="75"/>
      <c r="H27" s="75"/>
      <c r="I27" s="75"/>
    </row>
    <row r="28" spans="1:9" x14ac:dyDescent="0.25">
      <c r="A28" s="32" t="s">
        <v>89</v>
      </c>
      <c r="B28" s="37" t="s">
        <v>77</v>
      </c>
      <c r="C28" s="32" t="s">
        <v>83</v>
      </c>
      <c r="D28" s="41"/>
      <c r="E28" s="41"/>
      <c r="F28" s="75"/>
      <c r="G28" s="75"/>
      <c r="H28" s="75"/>
      <c r="I28" s="75"/>
    </row>
    <row r="29" spans="1:9" x14ac:dyDescent="0.25">
      <c r="A29" s="32" t="s">
        <v>89</v>
      </c>
      <c r="B29" s="37" t="s">
        <v>77</v>
      </c>
      <c r="C29" s="32" t="str">
        <f>CONCATENATE("Execute the 'P' transfers of the TOS ",C11," on the master BES")</f>
        <v>Execute the 'P' transfers of the TOS  on the master BES</v>
      </c>
      <c r="D29" s="41"/>
      <c r="E29" s="41"/>
      <c r="F29" s="75"/>
      <c r="G29" s="75"/>
      <c r="H29" s="75"/>
      <c r="I29" s="75"/>
    </row>
    <row r="30" spans="1:9" x14ac:dyDescent="0.25">
      <c r="A30" s="32" t="s">
        <v>89</v>
      </c>
      <c r="B30" s="37" t="s">
        <v>77</v>
      </c>
      <c r="C30" s="32" t="str">
        <f>CONCATENATE("Detect membership conflicts of the TOS '",C9,"' using the Flattening")</f>
        <v>Detect membership conflicts of the TOS 'PACK-XXX-XXXX' using the Flattening</v>
      </c>
      <c r="D30" s="41"/>
      <c r="E30" s="41"/>
      <c r="F30" s="75"/>
      <c r="G30" s="75"/>
      <c r="H30" s="75"/>
      <c r="I30" s="75"/>
    </row>
    <row r="31" spans="1:9" x14ac:dyDescent="0.25">
      <c r="A31" s="32" t="s">
        <v>89</v>
      </c>
      <c r="B31" s="37" t="s">
        <v>75</v>
      </c>
      <c r="C31" s="32" t="str">
        <f>CONCATENATE("Deploy the Synergy tasks on project THALER~",H2)</f>
        <v>Deploy the Synergy tasks on project THALER~To here</v>
      </c>
      <c r="D31" s="41"/>
      <c r="E31" s="41"/>
      <c r="F31" s="75"/>
      <c r="G31" s="75"/>
      <c r="H31" s="75"/>
      <c r="I31" s="75"/>
    </row>
    <row r="32" spans="1:9" ht="21" customHeight="1" x14ac:dyDescent="0.25">
      <c r="A32" s="32" t="s">
        <v>89</v>
      </c>
      <c r="B32" s="37" t="s">
        <v>76</v>
      </c>
      <c r="C32" s="32" t="str">
        <f>CONCATENATE("Compare all templates before their deployment into the projects of ",H2)</f>
        <v>Compare all templates before their deployment into the projects of To here</v>
      </c>
      <c r="D32" s="41"/>
      <c r="E32" s="41"/>
      <c r="F32" s="75"/>
      <c r="G32" s="75"/>
      <c r="H32" s="75"/>
      <c r="I32" s="75"/>
    </row>
    <row r="33" spans="1:9" x14ac:dyDescent="0.25">
      <c r="A33" s="32" t="s">
        <v>89</v>
      </c>
      <c r="B33" s="37" t="s">
        <v>76</v>
      </c>
      <c r="C33" s="32" t="str">
        <f>CONCATENATE("Deploy the configuration files into the projects of ",H2)</f>
        <v>Deploy the configuration files into the projects of To here</v>
      </c>
      <c r="D33" s="41"/>
      <c r="E33" s="41"/>
      <c r="F33" s="75"/>
      <c r="G33" s="75"/>
      <c r="H33" s="75"/>
      <c r="I33" s="75"/>
    </row>
    <row r="34" spans="1:9" x14ac:dyDescent="0.25">
      <c r="A34" s="32" t="s">
        <v>89</v>
      </c>
      <c r="B34" s="37" t="s">
        <v>77</v>
      </c>
      <c r="C34" s="32" t="str">
        <f>CONCATENATE("Execute the 'P/D' orders of the TOS '",C9,"' on the master BES")</f>
        <v>Execute the 'P/D' orders of the TOS 'PACK-XXX-XXXX' on the master BES</v>
      </c>
      <c r="D34" s="41"/>
      <c r="E34" s="41"/>
      <c r="F34" s="75"/>
      <c r="G34" s="75"/>
      <c r="H34" s="75"/>
      <c r="I34" s="75"/>
    </row>
    <row r="35" spans="1:9" x14ac:dyDescent="0.25">
      <c r="A35" s="32" t="s">
        <v>89</v>
      </c>
      <c r="B35" s="37" t="s">
        <v>77</v>
      </c>
      <c r="C35" s="32" t="str">
        <f>CONCATENATE("Execute the 'H' orders of the TOS '",C9,"' on the master BES")</f>
        <v>Execute the 'H' orders of the TOS 'PACK-XXX-XXXX' on the master BES</v>
      </c>
      <c r="D35" s="41"/>
      <c r="E35" s="41"/>
      <c r="F35" s="75"/>
      <c r="G35" s="75"/>
      <c r="H35" s="75"/>
      <c r="I35" s="75"/>
    </row>
    <row r="36" spans="1:9" x14ac:dyDescent="0.25">
      <c r="A36" s="32" t="s">
        <v>89</v>
      </c>
      <c r="B36" s="37" t="s">
        <v>77</v>
      </c>
      <c r="C36" s="32" t="str">
        <f>CONCATENATE("Execute the 'U/B' orders of the TOS '",C9,"' on the master BES")</f>
        <v>Execute the 'U/B' orders of the TOS 'PACK-XXX-XXXX' on the master BES</v>
      </c>
      <c r="D36" s="41"/>
      <c r="E36" s="41"/>
      <c r="F36" s="75"/>
      <c r="G36" s="75"/>
      <c r="H36" s="75"/>
      <c r="I36" s="75"/>
    </row>
    <row r="37" spans="1:9" x14ac:dyDescent="0.25">
      <c r="A37" s="32" t="s">
        <v>89</v>
      </c>
      <c r="B37" s="37" t="s">
        <v>77</v>
      </c>
      <c r="C37" s="32" t="str">
        <f>CONCATENATE("Execute the 'T/O' orders of the TOS '",C9,"' on the master BES")</f>
        <v>Execute the 'T/O' orders of the TOS 'PACK-XXX-XXXX' on the master BES</v>
      </c>
      <c r="D37" s="41"/>
      <c r="E37" s="41"/>
      <c r="F37" s="75"/>
      <c r="G37" s="75"/>
      <c r="H37" s="75"/>
      <c r="I37" s="75"/>
    </row>
    <row r="38" spans="1:9" x14ac:dyDescent="0.25">
      <c r="A38" s="32" t="s">
        <v>89</v>
      </c>
      <c r="B38" s="37" t="s">
        <v>77</v>
      </c>
      <c r="C38" s="32" t="str">
        <f>CONCATENATE("Execute the 'A' orders of the TOS '",C9,"' on the master BES")</f>
        <v>Execute the 'A' orders of the TOS 'PACK-XXX-XXXX' on the master BES</v>
      </c>
      <c r="D38" s="41"/>
      <c r="E38" s="41"/>
      <c r="F38" s="75"/>
      <c r="G38" s="75"/>
      <c r="H38" s="75"/>
      <c r="I38" s="75"/>
    </row>
    <row r="39" spans="1:9" x14ac:dyDescent="0.25">
      <c r="A39" s="32" t="s">
        <v>89</v>
      </c>
      <c r="B39" s="37" t="s">
        <v>76</v>
      </c>
      <c r="C39" s="32" t="s">
        <v>86</v>
      </c>
      <c r="D39" s="41"/>
      <c r="E39" s="41"/>
      <c r="F39" s="75"/>
      <c r="G39" s="75"/>
      <c r="H39" s="75"/>
      <c r="I39" s="75"/>
    </row>
    <row r="40" spans="1:9" x14ac:dyDescent="0.25">
      <c r="A40" s="32" t="s">
        <v>89</v>
      </c>
      <c r="B40" s="37" t="s">
        <v>78</v>
      </c>
      <c r="C40" s="32" t="str">
        <f>CONCATENATE("Build the V2 environment of ",H2)</f>
        <v>Build the V2 environment of To here</v>
      </c>
      <c r="D40" s="41"/>
      <c r="E40" s="41"/>
      <c r="F40" s="75"/>
      <c r="G40" s="75"/>
      <c r="H40" s="75"/>
      <c r="I40" s="75"/>
    </row>
    <row r="41" spans="1:9" x14ac:dyDescent="0.25">
      <c r="A41" s="32" t="s">
        <v>89</v>
      </c>
      <c r="B41" s="37" t="s">
        <v>77</v>
      </c>
      <c r="C41" s="32" t="str">
        <f>CONCATENATE("Execute the 'C' orders of the TOS '",C9,"' on the master BES")</f>
        <v>Execute the 'C' orders of the TOS 'PACK-XXX-XXXX' on the master BES</v>
      </c>
      <c r="D41" s="41"/>
      <c r="E41" s="41"/>
      <c r="F41" s="75"/>
      <c r="G41" s="75"/>
      <c r="H41" s="75"/>
      <c r="I41" s="75"/>
    </row>
    <row r="42" spans="1:9" x14ac:dyDescent="0.25">
      <c r="A42" s="32" t="s">
        <v>89</v>
      </c>
      <c r="B42" s="37" t="s">
        <v>76</v>
      </c>
      <c r="C42" s="32" t="s">
        <v>87</v>
      </c>
      <c r="D42" s="41"/>
      <c r="E42" s="41"/>
      <c r="F42" s="75"/>
      <c r="G42" s="75"/>
      <c r="H42" s="75"/>
      <c r="I42" s="75"/>
    </row>
    <row r="43" spans="1:9" x14ac:dyDescent="0.25">
      <c r="A43" s="32" t="s">
        <v>89</v>
      </c>
      <c r="B43" s="37" t="s">
        <v>79</v>
      </c>
      <c r="C43" s="32" t="s">
        <v>71</v>
      </c>
      <c r="D43" s="41"/>
      <c r="E43" s="41"/>
      <c r="F43" s="75"/>
      <c r="G43" s="75"/>
      <c r="H43" s="75"/>
      <c r="I43" s="75"/>
    </row>
    <row r="44" spans="1:9" x14ac:dyDescent="0.25">
      <c r="A44" s="32" t="s">
        <v>89</v>
      </c>
      <c r="B44" s="37" t="s">
        <v>79</v>
      </c>
      <c r="C44" s="32" t="s">
        <v>70</v>
      </c>
      <c r="D44" s="41"/>
      <c r="E44" s="41"/>
      <c r="F44" s="75"/>
      <c r="G44" s="75"/>
      <c r="H44" s="75"/>
      <c r="I44" s="75"/>
    </row>
    <row r="45" spans="1:9" x14ac:dyDescent="0.25">
      <c r="G45" s="38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A13:I13"/>
    <mergeCell ref="A2:B2"/>
    <mergeCell ref="A7:B7"/>
    <mergeCell ref="A9:B9"/>
    <mergeCell ref="A11:B11"/>
    <mergeCell ref="A4:B4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4:I44"/>
    <mergeCell ref="F39:I39"/>
    <mergeCell ref="F40:I40"/>
    <mergeCell ref="F41:I41"/>
    <mergeCell ref="F42:I42"/>
    <mergeCell ref="F43:I43"/>
  </mergeCells>
  <conditionalFormatting sqref="E16:E17 D15:F15 F16:F44">
    <cfRule type="expression" dxfId="323" priority="573">
      <formula>$D15="[ Bypassed ]"</formula>
    </cfRule>
    <cfRule type="expression" dxfId="322" priority="574">
      <formula>$D15="[ Done         ]"</formula>
    </cfRule>
    <cfRule type="expression" dxfId="321" priority="575">
      <formula>$D15="[ Pending… ]"</formula>
    </cfRule>
    <cfRule type="expression" dxfId="320" priority="576">
      <formula>$D15="[ To do        ]"</formula>
    </cfRule>
  </conditionalFormatting>
  <conditionalFormatting sqref="E19">
    <cfRule type="expression" dxfId="319" priority="501">
      <formula>$D19="[ Bypassed ]"</formula>
    </cfRule>
    <cfRule type="expression" dxfId="318" priority="502">
      <formula>$D19="[ Done         ]"</formula>
    </cfRule>
    <cfRule type="expression" dxfId="317" priority="503">
      <formula>$D19="[ Pending… ]"</formula>
    </cfRule>
    <cfRule type="expression" dxfId="316" priority="504">
      <formula>$D19="[ To do        ]"</formula>
    </cfRule>
  </conditionalFormatting>
  <conditionalFormatting sqref="E20">
    <cfRule type="expression" dxfId="315" priority="497">
      <formula>$D20="[ Bypassed ]"</formula>
    </cfRule>
    <cfRule type="expression" dxfId="314" priority="498">
      <formula>$D20="[ Done         ]"</formula>
    </cfRule>
    <cfRule type="expression" dxfId="313" priority="499">
      <formula>$D20="[ Pending… ]"</formula>
    </cfRule>
    <cfRule type="expression" dxfId="312" priority="500">
      <formula>$D20="[ To do        ]"</formula>
    </cfRule>
  </conditionalFormatting>
  <conditionalFormatting sqref="E39">
    <cfRule type="expression" dxfId="311" priority="473">
      <formula>$D39="[ Bypassed ]"</formula>
    </cfRule>
    <cfRule type="expression" dxfId="310" priority="474">
      <formula>$D39="[ Done         ]"</formula>
    </cfRule>
    <cfRule type="expression" dxfId="309" priority="475">
      <formula>$D39="[ Pending… ]"</formula>
    </cfRule>
    <cfRule type="expression" dxfId="308" priority="476">
      <formula>$D39="[ To do        ]"</formula>
    </cfRule>
  </conditionalFormatting>
  <conditionalFormatting sqref="E40">
    <cfRule type="expression" dxfId="307" priority="449">
      <formula>$D40="[ Bypassed ]"</formula>
    </cfRule>
    <cfRule type="expression" dxfId="306" priority="450">
      <formula>$D40="[ Done         ]"</formula>
    </cfRule>
    <cfRule type="expression" dxfId="305" priority="451">
      <formula>$D40="[ Pending… ]"</formula>
    </cfRule>
    <cfRule type="expression" dxfId="304" priority="452">
      <formula>$D40="[ To do        ]"</formula>
    </cfRule>
  </conditionalFormatting>
  <conditionalFormatting sqref="D15:D17 D20:D21 D23:E26 D23:D29 D34:E35 D34:D44">
    <cfRule type="expression" dxfId="303" priority="333">
      <formula>$D15="[ Bypassed ]"</formula>
    </cfRule>
    <cfRule type="expression" dxfId="302" priority="334">
      <formula>$D15="[ Done         ]"</formula>
    </cfRule>
    <cfRule type="expression" dxfId="301" priority="335">
      <formula>$D15="[ Pending… ]"</formula>
    </cfRule>
    <cfRule type="expression" dxfId="300" priority="336">
      <formula>$D15="[ To do        ]"</formula>
    </cfRule>
  </conditionalFormatting>
  <conditionalFormatting sqref="D40">
    <cfRule type="expression" dxfId="299" priority="321">
      <formula>$D40="[ Bypassed ]"</formula>
    </cfRule>
    <cfRule type="expression" dxfId="298" priority="322">
      <formula>$D40="[ Done         ]"</formula>
    </cfRule>
    <cfRule type="expression" dxfId="297" priority="323">
      <formula>$D40="[ Pending… ]"</formula>
    </cfRule>
    <cfRule type="expression" dxfId="296" priority="324">
      <formula>$D40="[ To do        ]"</formula>
    </cfRule>
  </conditionalFormatting>
  <conditionalFormatting sqref="D19">
    <cfRule type="expression" dxfId="295" priority="197">
      <formula>$D19="[ Bypassed ]"</formula>
    </cfRule>
    <cfRule type="expression" dxfId="294" priority="198">
      <formula>$D19="[ Done         ]"</formula>
    </cfRule>
    <cfRule type="expression" dxfId="293" priority="199">
      <formula>$D19="[ Pending… ]"</formula>
    </cfRule>
    <cfRule type="expression" dxfId="292" priority="200">
      <formula>$D19="[ To do        ]"</formula>
    </cfRule>
  </conditionalFormatting>
  <conditionalFormatting sqref="E19">
    <cfRule type="expression" dxfId="291" priority="193">
      <formula>$D19="[ Bypassed ]"</formula>
    </cfRule>
    <cfRule type="expression" dxfId="290" priority="194">
      <formula>$D19="[ Done         ]"</formula>
    </cfRule>
    <cfRule type="expression" dxfId="289" priority="195">
      <formula>$D19="[ Pending… ]"</formula>
    </cfRule>
    <cfRule type="expression" dxfId="288" priority="196">
      <formula>$D19="[ To do        ]"</formula>
    </cfRule>
  </conditionalFormatting>
  <conditionalFormatting sqref="D18:E18">
    <cfRule type="expression" dxfId="287" priority="181">
      <formula>$D18="[ Bypassed ]"</formula>
    </cfRule>
    <cfRule type="expression" dxfId="286" priority="182">
      <formula>$D18="[ Done         ]"</formula>
    </cfRule>
    <cfRule type="expression" dxfId="285" priority="183">
      <formula>$D18="[ Pending… ]"</formula>
    </cfRule>
    <cfRule type="expression" dxfId="284" priority="184">
      <formula>$D18="[ To do        ]"</formula>
    </cfRule>
  </conditionalFormatting>
  <conditionalFormatting sqref="E21">
    <cfRule type="expression" dxfId="283" priority="169">
      <formula>$D21="[ Bypassed ]"</formula>
    </cfRule>
    <cfRule type="expression" dxfId="282" priority="170">
      <formula>$D21="[ Done         ]"</formula>
    </cfRule>
    <cfRule type="expression" dxfId="281" priority="171">
      <formula>$D21="[ Pending… ]"</formula>
    </cfRule>
    <cfRule type="expression" dxfId="280" priority="172">
      <formula>$D21="[ To do        ]"</formula>
    </cfRule>
  </conditionalFormatting>
  <conditionalFormatting sqref="D22">
    <cfRule type="expression" dxfId="279" priority="157">
      <formula>$D22="[ Bypassed ]"</formula>
    </cfRule>
    <cfRule type="expression" dxfId="278" priority="158">
      <formula>$D22="[ Done         ]"</formula>
    </cfRule>
    <cfRule type="expression" dxfId="277" priority="159">
      <formula>$D22="[ Pending… ]"</formula>
    </cfRule>
    <cfRule type="expression" dxfId="276" priority="160">
      <formula>$D22="[ To do        ]"</formula>
    </cfRule>
  </conditionalFormatting>
  <conditionalFormatting sqref="E22">
    <cfRule type="expression" dxfId="275" priority="145">
      <formula>$D22="[ Bypassed ]"</formula>
    </cfRule>
    <cfRule type="expression" dxfId="274" priority="146">
      <formula>$D22="[ Done         ]"</formula>
    </cfRule>
    <cfRule type="expression" dxfId="273" priority="147">
      <formula>$D22="[ Pending… ]"</formula>
    </cfRule>
    <cfRule type="expression" dxfId="272" priority="148">
      <formula>$D22="[ To do        ]"</formula>
    </cfRule>
  </conditionalFormatting>
  <conditionalFormatting sqref="E27:E28">
    <cfRule type="expression" dxfId="271" priority="133">
      <formula>$D27="[ Bypassed ]"</formula>
    </cfRule>
    <cfRule type="expression" dxfId="270" priority="134">
      <formula>$D27="[ Done         ]"</formula>
    </cfRule>
    <cfRule type="expression" dxfId="269" priority="135">
      <formula>$D27="[ Pending… ]"</formula>
    </cfRule>
    <cfRule type="expression" dxfId="268" priority="136">
      <formula>$D27="[ To do        ]"</formula>
    </cfRule>
  </conditionalFormatting>
  <conditionalFormatting sqref="D31">
    <cfRule type="expression" dxfId="267" priority="121">
      <formula>$D31="[ Bypassed ]"</formula>
    </cfRule>
    <cfRule type="expression" dxfId="266" priority="122">
      <formula>$D31="[ Done         ]"</formula>
    </cfRule>
    <cfRule type="expression" dxfId="265" priority="123">
      <formula>$D31="[ Pending… ]"</formula>
    </cfRule>
    <cfRule type="expression" dxfId="264" priority="124">
      <formula>$D31="[ To do        ]"</formula>
    </cfRule>
  </conditionalFormatting>
  <conditionalFormatting sqref="E31">
    <cfRule type="expression" dxfId="263" priority="109">
      <formula>$D31="[ Bypassed ]"</formula>
    </cfRule>
    <cfRule type="expression" dxfId="262" priority="110">
      <formula>$D31="[ Done         ]"</formula>
    </cfRule>
    <cfRule type="expression" dxfId="261" priority="111">
      <formula>$D31="[ Pending… ]"</formula>
    </cfRule>
    <cfRule type="expression" dxfId="260" priority="112">
      <formula>$D31="[ To do        ]"</formula>
    </cfRule>
  </conditionalFormatting>
  <conditionalFormatting sqref="D32">
    <cfRule type="expression" dxfId="259" priority="97">
      <formula>$D32="[ Bypassed ]"</formula>
    </cfRule>
    <cfRule type="expression" dxfId="258" priority="98">
      <formula>$D32="[ Done         ]"</formula>
    </cfRule>
    <cfRule type="expression" dxfId="257" priority="99">
      <formula>$D32="[ Pending… ]"</formula>
    </cfRule>
    <cfRule type="expression" dxfId="256" priority="100">
      <formula>$D32="[ To do        ]"</formula>
    </cfRule>
  </conditionalFormatting>
  <conditionalFormatting sqref="E32">
    <cfRule type="expression" dxfId="255" priority="85">
      <formula>$D32="[ Bypassed ]"</formula>
    </cfRule>
    <cfRule type="expression" dxfId="254" priority="86">
      <formula>$D32="[ Done         ]"</formula>
    </cfRule>
    <cfRule type="expression" dxfId="253" priority="87">
      <formula>$D32="[ Pending… ]"</formula>
    </cfRule>
    <cfRule type="expression" dxfId="252" priority="88">
      <formula>$D32="[ To do        ]"</formula>
    </cfRule>
  </conditionalFormatting>
  <conditionalFormatting sqref="D33">
    <cfRule type="expression" dxfId="251" priority="73">
      <formula>$D33="[ Bypassed ]"</formula>
    </cfRule>
    <cfRule type="expression" dxfId="250" priority="74">
      <formula>$D33="[ Done         ]"</formula>
    </cfRule>
    <cfRule type="expression" dxfId="249" priority="75">
      <formula>$D33="[ Pending… ]"</formula>
    </cfRule>
    <cfRule type="expression" dxfId="248" priority="76">
      <formula>$D33="[ To do        ]"</formula>
    </cfRule>
  </conditionalFormatting>
  <conditionalFormatting sqref="E33">
    <cfRule type="expression" dxfId="247" priority="61">
      <formula>$D33="[ Bypassed ]"</formula>
    </cfRule>
    <cfRule type="expression" dxfId="246" priority="62">
      <formula>$D33="[ Done         ]"</formula>
    </cfRule>
    <cfRule type="expression" dxfId="245" priority="63">
      <formula>$D33="[ Pending… ]"</formula>
    </cfRule>
    <cfRule type="expression" dxfId="244" priority="64">
      <formula>$D33="[ To do        ]"</formula>
    </cfRule>
  </conditionalFormatting>
  <conditionalFormatting sqref="D41:E42">
    <cfRule type="expression" dxfId="243" priority="45">
      <formula>$D41="[ Bypassed ]"</formula>
    </cfRule>
    <cfRule type="expression" dxfId="242" priority="46">
      <formula>$D41="[ Done         ]"</formula>
    </cfRule>
    <cfRule type="expression" dxfId="241" priority="47">
      <formula>$D41="[ Pending… ]"</formula>
    </cfRule>
    <cfRule type="expression" dxfId="240" priority="48">
      <formula>$D41="[ To do        ]"</formula>
    </cfRule>
  </conditionalFormatting>
  <conditionalFormatting sqref="D43:D44">
    <cfRule type="expression" dxfId="239" priority="37">
      <formula>$D43="[ Bypassed ]"</formula>
    </cfRule>
    <cfRule type="expression" dxfId="238" priority="38">
      <formula>$D43="[ Done         ]"</formula>
    </cfRule>
    <cfRule type="expression" dxfId="237" priority="39">
      <formula>$D43="[ Pending… ]"</formula>
    </cfRule>
    <cfRule type="expression" dxfId="236" priority="40">
      <formula>$D43="[ To do        ]"</formula>
    </cfRule>
  </conditionalFormatting>
  <conditionalFormatting sqref="E43">
    <cfRule type="expression" dxfId="235" priority="29">
      <formula>$D43="[ Bypassed ]"</formula>
    </cfRule>
    <cfRule type="expression" dxfId="234" priority="30">
      <formula>$D43="[ Done         ]"</formula>
    </cfRule>
    <cfRule type="expression" dxfId="233" priority="31">
      <formula>$D43="[ Pending… ]"</formula>
    </cfRule>
    <cfRule type="expression" dxfId="232" priority="32">
      <formula>$D43="[ To do        ]"</formula>
    </cfRule>
  </conditionalFormatting>
  <conditionalFormatting sqref="E44">
    <cfRule type="expression" dxfId="231" priority="21">
      <formula>$D44="[ Bypassed ]"</formula>
    </cfRule>
    <cfRule type="expression" dxfId="230" priority="22">
      <formula>$D44="[ Done         ]"</formula>
    </cfRule>
    <cfRule type="expression" dxfId="229" priority="23">
      <formula>$D44="[ Pending… ]"</formula>
    </cfRule>
    <cfRule type="expression" dxfId="228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abSelected="1" topLeftCell="B1" workbookViewId="0">
      <selection activeCell="P17" sqref="P17"/>
    </sheetView>
  </sheetViews>
  <sheetFormatPr defaultRowHeight="15" x14ac:dyDescent="0.25"/>
  <cols>
    <col min="1" max="1" width="13.28515625" customWidth="1"/>
    <col min="2" max="2" width="67.42578125" bestFit="1" customWidth="1"/>
    <col min="4" max="4" width="15.28515625" bestFit="1" customWidth="1"/>
    <col min="7" max="7" width="10.7109375" bestFit="1" customWidth="1"/>
    <col min="10" max="10" width="15" bestFit="1" customWidth="1"/>
    <col min="15" max="15" width="10.7109375" bestFit="1" customWidth="1"/>
    <col min="16" max="16" width="42.5703125" bestFit="1" customWidth="1"/>
  </cols>
  <sheetData>
    <row r="1" spans="1:10" ht="15.75" thickBot="1" x14ac:dyDescent="0.3">
      <c r="A1" t="s">
        <v>153</v>
      </c>
      <c r="G1" t="s">
        <v>163</v>
      </c>
    </row>
    <row r="2" spans="1:10" ht="15.75" thickBot="1" x14ac:dyDescent="0.3">
      <c r="A2" s="82" t="s">
        <v>130</v>
      </c>
      <c r="B2" s="83"/>
      <c r="C2" s="83"/>
      <c r="D2" s="84"/>
      <c r="G2" s="85" t="s">
        <v>154</v>
      </c>
      <c r="H2" s="86"/>
      <c r="I2" s="86"/>
      <c r="J2" s="86"/>
    </row>
    <row r="3" spans="1:10" ht="15.75" thickBot="1" x14ac:dyDescent="0.3">
      <c r="A3" s="54" t="s">
        <v>131</v>
      </c>
      <c r="B3" s="54" t="s">
        <v>34</v>
      </c>
      <c r="C3" s="54" t="s">
        <v>132</v>
      </c>
      <c r="D3" s="54" t="s">
        <v>133</v>
      </c>
      <c r="G3" s="60" t="s">
        <v>131</v>
      </c>
      <c r="H3" s="61" t="s">
        <v>34</v>
      </c>
      <c r="I3" s="61" t="s">
        <v>155</v>
      </c>
      <c r="J3" s="61" t="s">
        <v>156</v>
      </c>
    </row>
    <row r="4" spans="1:10" ht="15.75" thickBot="1" x14ac:dyDescent="0.3">
      <c r="A4" s="55">
        <v>42433</v>
      </c>
      <c r="B4" s="56" t="s">
        <v>134</v>
      </c>
      <c r="C4" s="56" t="s">
        <v>135</v>
      </c>
      <c r="D4" s="57" t="s">
        <v>136</v>
      </c>
      <c r="G4" s="62">
        <v>42290</v>
      </c>
      <c r="H4" s="63" t="s">
        <v>134</v>
      </c>
      <c r="I4" s="63" t="s">
        <v>135</v>
      </c>
      <c r="J4" s="64" t="s">
        <v>136</v>
      </c>
    </row>
    <row r="5" spans="1:10" ht="15.75" thickBot="1" x14ac:dyDescent="0.3">
      <c r="A5" s="55">
        <v>42433</v>
      </c>
      <c r="B5" s="56" t="s">
        <v>137</v>
      </c>
      <c r="C5" s="56" t="s">
        <v>138</v>
      </c>
      <c r="D5" s="57" t="s">
        <v>136</v>
      </c>
      <c r="G5" s="62">
        <v>42290</v>
      </c>
      <c r="H5" s="63" t="s">
        <v>157</v>
      </c>
      <c r="I5" s="63" t="s">
        <v>138</v>
      </c>
      <c r="J5" s="65" t="s">
        <v>158</v>
      </c>
    </row>
    <row r="6" spans="1:10" ht="15.75" thickBot="1" x14ac:dyDescent="0.3">
      <c r="A6" s="55">
        <v>42433</v>
      </c>
      <c r="B6" s="56" t="s">
        <v>139</v>
      </c>
      <c r="C6" s="56" t="s">
        <v>138</v>
      </c>
      <c r="D6" s="57" t="s">
        <v>136</v>
      </c>
      <c r="G6" s="62">
        <v>42290</v>
      </c>
      <c r="H6" s="63" t="s">
        <v>139</v>
      </c>
      <c r="I6" s="63" t="s">
        <v>138</v>
      </c>
      <c r="J6" s="65" t="s">
        <v>158</v>
      </c>
    </row>
    <row r="7" spans="1:10" ht="15.75" thickBot="1" x14ac:dyDescent="0.3">
      <c r="A7" s="55">
        <v>42433</v>
      </c>
      <c r="B7" s="56" t="s">
        <v>140</v>
      </c>
      <c r="C7" s="56" t="s">
        <v>138</v>
      </c>
      <c r="D7" s="57" t="s">
        <v>136</v>
      </c>
      <c r="G7" s="62">
        <v>42290</v>
      </c>
      <c r="H7" s="63" t="s">
        <v>140</v>
      </c>
      <c r="I7" s="63" t="s">
        <v>138</v>
      </c>
      <c r="J7" s="65" t="s">
        <v>158</v>
      </c>
    </row>
    <row r="8" spans="1:10" ht="15.75" thickBot="1" x14ac:dyDescent="0.3">
      <c r="A8" s="55">
        <v>42433</v>
      </c>
      <c r="B8" s="56" t="s">
        <v>141</v>
      </c>
      <c r="C8" s="56" t="s">
        <v>138</v>
      </c>
      <c r="D8" s="57" t="s">
        <v>136</v>
      </c>
      <c r="G8" s="62">
        <v>42290</v>
      </c>
      <c r="H8" s="63" t="s">
        <v>159</v>
      </c>
      <c r="I8" s="63" t="s">
        <v>138</v>
      </c>
      <c r="J8" s="65" t="s">
        <v>158</v>
      </c>
    </row>
    <row r="9" spans="1:10" ht="15.75" thickBot="1" x14ac:dyDescent="0.3">
      <c r="A9" s="55">
        <v>42433</v>
      </c>
      <c r="B9" s="56" t="s">
        <v>142</v>
      </c>
      <c r="C9" s="56" t="s">
        <v>138</v>
      </c>
      <c r="D9" s="57" t="s">
        <v>136</v>
      </c>
      <c r="G9" s="62">
        <v>42291</v>
      </c>
      <c r="H9" s="63" t="s">
        <v>146</v>
      </c>
      <c r="I9" s="63" t="s">
        <v>138</v>
      </c>
      <c r="J9" s="65" t="s">
        <v>158</v>
      </c>
    </row>
    <row r="10" spans="1:10" ht="15.75" thickBot="1" x14ac:dyDescent="0.3">
      <c r="A10" s="55">
        <v>42433</v>
      </c>
      <c r="B10" s="56" t="s">
        <v>143</v>
      </c>
      <c r="C10" s="56" t="s">
        <v>138</v>
      </c>
      <c r="D10" s="57" t="s">
        <v>136</v>
      </c>
      <c r="G10" s="62">
        <v>42291</v>
      </c>
      <c r="H10" s="63" t="s">
        <v>148</v>
      </c>
      <c r="I10" s="63" t="s">
        <v>138</v>
      </c>
      <c r="J10" s="65" t="s">
        <v>158</v>
      </c>
    </row>
    <row r="11" spans="1:10" ht="15.75" thickBot="1" x14ac:dyDescent="0.3">
      <c r="A11" s="58">
        <v>42436</v>
      </c>
      <c r="B11" s="59" t="s">
        <v>144</v>
      </c>
      <c r="C11" s="59" t="s">
        <v>138</v>
      </c>
      <c r="D11" s="57" t="s">
        <v>136</v>
      </c>
      <c r="G11" s="62">
        <v>42291</v>
      </c>
      <c r="H11" s="63" t="s">
        <v>149</v>
      </c>
      <c r="I11" s="63" t="s">
        <v>138</v>
      </c>
      <c r="J11" s="65" t="s">
        <v>158</v>
      </c>
    </row>
    <row r="12" spans="1:10" ht="15.75" thickBot="1" x14ac:dyDescent="0.3">
      <c r="A12" s="58">
        <v>42436</v>
      </c>
      <c r="B12" s="59" t="s">
        <v>145</v>
      </c>
      <c r="C12" s="59" t="s">
        <v>138</v>
      </c>
      <c r="D12" s="57" t="s">
        <v>136</v>
      </c>
      <c r="G12" s="62">
        <v>42291</v>
      </c>
      <c r="H12" s="63" t="s">
        <v>150</v>
      </c>
      <c r="I12" s="63" t="s">
        <v>138</v>
      </c>
      <c r="J12" s="65" t="s">
        <v>158</v>
      </c>
    </row>
    <row r="13" spans="1:10" ht="15.75" thickBot="1" x14ac:dyDescent="0.3">
      <c r="A13" s="58">
        <v>42436</v>
      </c>
      <c r="B13" s="59" t="s">
        <v>146</v>
      </c>
      <c r="C13" s="59" t="s">
        <v>138</v>
      </c>
      <c r="D13" s="57" t="s">
        <v>136</v>
      </c>
      <c r="G13" s="62">
        <v>42291</v>
      </c>
      <c r="H13" s="63" t="s">
        <v>160</v>
      </c>
      <c r="I13" s="63" t="s">
        <v>138</v>
      </c>
      <c r="J13" s="65" t="s">
        <v>158</v>
      </c>
    </row>
    <row r="14" spans="1:10" ht="15.75" thickBot="1" x14ac:dyDescent="0.3">
      <c r="A14" s="58">
        <v>42436</v>
      </c>
      <c r="B14" s="59" t="s">
        <v>147</v>
      </c>
      <c r="C14" s="59" t="s">
        <v>138</v>
      </c>
      <c r="D14" s="57" t="s">
        <v>136</v>
      </c>
      <c r="G14" s="62">
        <v>42291</v>
      </c>
      <c r="H14" s="63" t="s">
        <v>161</v>
      </c>
      <c r="I14" s="63" t="s">
        <v>162</v>
      </c>
      <c r="J14" s="65" t="s">
        <v>158</v>
      </c>
    </row>
    <row r="15" spans="1:10" ht="15.75" thickBot="1" x14ac:dyDescent="0.3">
      <c r="A15" s="58">
        <v>42436</v>
      </c>
      <c r="B15" s="59" t="s">
        <v>148</v>
      </c>
      <c r="C15" s="59" t="s">
        <v>138</v>
      </c>
      <c r="D15" s="57" t="s">
        <v>136</v>
      </c>
      <c r="G15" s="62">
        <v>42291</v>
      </c>
      <c r="H15" s="63" t="s">
        <v>152</v>
      </c>
      <c r="I15" s="63" t="s">
        <v>138</v>
      </c>
      <c r="J15" s="65" t="s">
        <v>158</v>
      </c>
    </row>
    <row r="16" spans="1:10" x14ac:dyDescent="0.25">
      <c r="A16" s="58">
        <v>42436</v>
      </c>
      <c r="B16" s="59" t="s">
        <v>149</v>
      </c>
      <c r="C16" s="59" t="s">
        <v>138</v>
      </c>
      <c r="D16" s="57" t="s">
        <v>136</v>
      </c>
    </row>
    <row r="17" spans="1:18" x14ac:dyDescent="0.25">
      <c r="A17" s="58">
        <v>42436</v>
      </c>
      <c r="B17" s="59" t="s">
        <v>150</v>
      </c>
      <c r="C17" s="59" t="s">
        <v>138</v>
      </c>
      <c r="D17" s="57" t="s">
        <v>136</v>
      </c>
    </row>
    <row r="18" spans="1:18" x14ac:dyDescent="0.25">
      <c r="A18" s="58">
        <v>42436</v>
      </c>
      <c r="B18" s="59" t="s">
        <v>151</v>
      </c>
      <c r="C18" s="59" t="s">
        <v>138</v>
      </c>
      <c r="D18" s="57" t="s">
        <v>136</v>
      </c>
    </row>
    <row r="19" spans="1:18" ht="15.75" thickBot="1" x14ac:dyDescent="0.3">
      <c r="A19" s="58">
        <v>42436</v>
      </c>
      <c r="B19" s="59" t="s">
        <v>152</v>
      </c>
      <c r="C19" s="59" t="s">
        <v>138</v>
      </c>
      <c r="D19" s="57" t="s">
        <v>136</v>
      </c>
    </row>
    <row r="20" spans="1:18" ht="15.75" thickBot="1" x14ac:dyDescent="0.3">
      <c r="G20" s="87" t="s">
        <v>164</v>
      </c>
      <c r="H20" s="88"/>
      <c r="I20" s="88"/>
      <c r="J20" s="88"/>
      <c r="K20" s="88"/>
      <c r="L20" s="89"/>
      <c r="O20" s="54" t="s">
        <v>131</v>
      </c>
      <c r="P20" s="54" t="s">
        <v>175</v>
      </c>
      <c r="Q20" s="54" t="s">
        <v>155</v>
      </c>
      <c r="R20" s="54" t="s">
        <v>176</v>
      </c>
    </row>
    <row r="21" spans="1:18" ht="15.75" thickBot="1" x14ac:dyDescent="0.3">
      <c r="A21" t="s">
        <v>174</v>
      </c>
      <c r="G21" s="60" t="s">
        <v>131</v>
      </c>
      <c r="H21" s="61" t="s">
        <v>34</v>
      </c>
      <c r="I21" s="61" t="s">
        <v>155</v>
      </c>
      <c r="J21" s="61" t="s">
        <v>165</v>
      </c>
      <c r="K21" s="61" t="s">
        <v>166</v>
      </c>
      <c r="L21" s="61" t="s">
        <v>167</v>
      </c>
      <c r="O21" s="55">
        <v>42445</v>
      </c>
      <c r="P21" s="56" t="s">
        <v>134</v>
      </c>
      <c r="Q21" s="56" t="s">
        <v>135</v>
      </c>
      <c r="R21" s="57" t="s">
        <v>136</v>
      </c>
    </row>
    <row r="22" spans="1:18" ht="15.75" thickBot="1" x14ac:dyDescent="0.3">
      <c r="A22" s="87" t="s">
        <v>168</v>
      </c>
      <c r="B22" s="88"/>
      <c r="C22" s="88"/>
      <c r="D22" s="88"/>
      <c r="G22" s="66">
        <v>42187</v>
      </c>
      <c r="H22" s="67" t="s">
        <v>134</v>
      </c>
      <c r="I22" s="67" t="s">
        <v>135</v>
      </c>
      <c r="J22" s="64" t="s">
        <v>136</v>
      </c>
      <c r="K22" s="64" t="s">
        <v>136</v>
      </c>
      <c r="L22" s="64" t="s">
        <v>136</v>
      </c>
      <c r="O22" s="55">
        <v>42445</v>
      </c>
      <c r="P22" s="56" t="s">
        <v>177</v>
      </c>
      <c r="Q22" s="56" t="s">
        <v>138</v>
      </c>
      <c r="R22" s="65" t="s">
        <v>158</v>
      </c>
    </row>
    <row r="23" spans="1:18" ht="15.75" thickBot="1" x14ac:dyDescent="0.3">
      <c r="A23" s="60" t="s">
        <v>131</v>
      </c>
      <c r="B23" s="61" t="s">
        <v>34</v>
      </c>
      <c r="C23" s="61" t="s">
        <v>155</v>
      </c>
      <c r="D23" s="61" t="s">
        <v>169</v>
      </c>
      <c r="G23" s="66">
        <v>42146</v>
      </c>
      <c r="H23" s="67" t="s">
        <v>157</v>
      </c>
      <c r="I23" s="67" t="s">
        <v>138</v>
      </c>
      <c r="J23" s="65" t="s">
        <v>158</v>
      </c>
      <c r="K23" s="65" t="s">
        <v>158</v>
      </c>
      <c r="L23" s="65" t="s">
        <v>158</v>
      </c>
      <c r="O23" s="55">
        <v>42445</v>
      </c>
      <c r="P23" s="56" t="s">
        <v>141</v>
      </c>
      <c r="Q23" s="56" t="s">
        <v>138</v>
      </c>
      <c r="R23" s="65" t="s">
        <v>158</v>
      </c>
    </row>
    <row r="24" spans="1:18" ht="15.75" thickBot="1" x14ac:dyDescent="0.3">
      <c r="A24" s="66">
        <v>42423</v>
      </c>
      <c r="B24" s="67" t="s">
        <v>134</v>
      </c>
      <c r="C24" s="67" t="s">
        <v>135</v>
      </c>
      <c r="D24" s="64" t="s">
        <v>136</v>
      </c>
      <c r="G24" s="66">
        <v>42146</v>
      </c>
      <c r="H24" s="67" t="s">
        <v>139</v>
      </c>
      <c r="I24" s="67" t="s">
        <v>138</v>
      </c>
      <c r="J24" s="65" t="s">
        <v>158</v>
      </c>
      <c r="K24" s="65" t="s">
        <v>158</v>
      </c>
      <c r="L24" s="65" t="s">
        <v>158</v>
      </c>
      <c r="O24" s="55">
        <v>42445</v>
      </c>
      <c r="P24" s="56" t="s">
        <v>178</v>
      </c>
      <c r="Q24" s="56" t="s">
        <v>138</v>
      </c>
      <c r="R24" s="65" t="s">
        <v>158</v>
      </c>
    </row>
    <row r="25" spans="1:18" ht="15.75" thickBot="1" x14ac:dyDescent="0.3">
      <c r="A25" s="66">
        <v>42423</v>
      </c>
      <c r="B25" s="67" t="s">
        <v>157</v>
      </c>
      <c r="C25" s="67" t="s">
        <v>138</v>
      </c>
      <c r="D25" s="64" t="s">
        <v>136</v>
      </c>
      <c r="G25" s="66">
        <v>42146</v>
      </c>
      <c r="H25" s="67" t="s">
        <v>140</v>
      </c>
      <c r="I25" s="67" t="s">
        <v>138</v>
      </c>
      <c r="J25" s="65" t="s">
        <v>158</v>
      </c>
      <c r="K25" s="65" t="s">
        <v>158</v>
      </c>
      <c r="L25" s="65" t="s">
        <v>158</v>
      </c>
      <c r="O25" s="55">
        <v>42445</v>
      </c>
      <c r="P25" s="56" t="s">
        <v>142</v>
      </c>
      <c r="Q25" s="56" t="s">
        <v>138</v>
      </c>
      <c r="R25" s="65" t="s">
        <v>158</v>
      </c>
    </row>
    <row r="26" spans="1:18" ht="15.75" thickBot="1" x14ac:dyDescent="0.3">
      <c r="A26" s="66">
        <v>42423</v>
      </c>
      <c r="B26" s="67" t="s">
        <v>139</v>
      </c>
      <c r="C26" s="67" t="s">
        <v>138</v>
      </c>
      <c r="D26" s="64" t="s">
        <v>136</v>
      </c>
      <c r="G26" s="66">
        <v>42146</v>
      </c>
      <c r="H26" s="67" t="s">
        <v>159</v>
      </c>
      <c r="I26" s="67" t="s">
        <v>138</v>
      </c>
      <c r="J26" s="65" t="s">
        <v>158</v>
      </c>
      <c r="K26" s="65" t="s">
        <v>158</v>
      </c>
      <c r="L26" s="65" t="s">
        <v>158</v>
      </c>
      <c r="O26" s="55">
        <v>42445</v>
      </c>
      <c r="P26" s="56" t="s">
        <v>143</v>
      </c>
      <c r="Q26" s="56" t="s">
        <v>138</v>
      </c>
      <c r="R26" s="65" t="s">
        <v>158</v>
      </c>
    </row>
    <row r="27" spans="1:18" ht="15.75" thickBot="1" x14ac:dyDescent="0.3">
      <c r="A27" s="66">
        <v>42423</v>
      </c>
      <c r="B27" s="67" t="s">
        <v>140</v>
      </c>
      <c r="C27" s="67" t="s">
        <v>138</v>
      </c>
      <c r="D27" s="64" t="s">
        <v>136</v>
      </c>
      <c r="G27" s="66">
        <v>42146</v>
      </c>
      <c r="H27" s="67" t="s">
        <v>146</v>
      </c>
      <c r="I27" s="67" t="s">
        <v>138</v>
      </c>
      <c r="J27" s="65" t="s">
        <v>158</v>
      </c>
      <c r="K27" s="65" t="s">
        <v>158</v>
      </c>
      <c r="L27" s="65" t="s">
        <v>158</v>
      </c>
      <c r="O27" s="55">
        <v>42445</v>
      </c>
      <c r="P27" s="56" t="s">
        <v>144</v>
      </c>
      <c r="Q27" s="56" t="s">
        <v>138</v>
      </c>
      <c r="R27" s="65" t="s">
        <v>158</v>
      </c>
    </row>
    <row r="28" spans="1:18" ht="15.75" thickBot="1" x14ac:dyDescent="0.3">
      <c r="A28" s="66">
        <v>42423</v>
      </c>
      <c r="B28" s="67" t="s">
        <v>159</v>
      </c>
      <c r="C28" s="67" t="s">
        <v>138</v>
      </c>
      <c r="D28" s="64" t="s">
        <v>136</v>
      </c>
      <c r="G28" s="66">
        <v>42146</v>
      </c>
      <c r="H28" s="67" t="s">
        <v>148</v>
      </c>
      <c r="I28" s="67" t="s">
        <v>138</v>
      </c>
      <c r="J28" s="65" t="s">
        <v>158</v>
      </c>
      <c r="K28" s="65" t="s">
        <v>158</v>
      </c>
      <c r="L28" s="65" t="s">
        <v>158</v>
      </c>
      <c r="O28" s="55">
        <v>42445</v>
      </c>
      <c r="P28" s="56" t="s">
        <v>179</v>
      </c>
      <c r="Q28" s="56" t="s">
        <v>138</v>
      </c>
      <c r="R28" s="65" t="s">
        <v>158</v>
      </c>
    </row>
    <row r="29" spans="1:18" ht="15.75" thickBot="1" x14ac:dyDescent="0.3">
      <c r="A29" s="66">
        <v>42423</v>
      </c>
      <c r="B29" s="67" t="s">
        <v>170</v>
      </c>
      <c r="C29" s="67" t="s">
        <v>138</v>
      </c>
      <c r="D29" s="68" t="s">
        <v>136</v>
      </c>
      <c r="G29" s="66">
        <v>42146</v>
      </c>
      <c r="H29" s="67" t="s">
        <v>149</v>
      </c>
      <c r="I29" s="67" t="s">
        <v>138</v>
      </c>
      <c r="J29" s="65" t="s">
        <v>158</v>
      </c>
      <c r="K29" s="65" t="s">
        <v>158</v>
      </c>
      <c r="L29" s="65" t="s">
        <v>158</v>
      </c>
      <c r="O29" s="55">
        <v>42445</v>
      </c>
      <c r="P29" s="56" t="s">
        <v>180</v>
      </c>
      <c r="Q29" s="56" t="s">
        <v>138</v>
      </c>
      <c r="R29" s="65" t="s">
        <v>158</v>
      </c>
    </row>
    <row r="30" spans="1:18" ht="15.75" thickBot="1" x14ac:dyDescent="0.3">
      <c r="A30" s="66">
        <v>42423</v>
      </c>
      <c r="B30" s="67" t="s">
        <v>171</v>
      </c>
      <c r="C30" s="69" t="s">
        <v>138</v>
      </c>
      <c r="D30" s="70" t="s">
        <v>136</v>
      </c>
      <c r="G30" s="66">
        <v>42146</v>
      </c>
      <c r="H30" s="67" t="s">
        <v>150</v>
      </c>
      <c r="I30" s="67" t="s">
        <v>138</v>
      </c>
      <c r="J30" s="65" t="s">
        <v>158</v>
      </c>
      <c r="K30" s="65" t="s">
        <v>158</v>
      </c>
      <c r="L30" s="65" t="s">
        <v>158</v>
      </c>
      <c r="O30" s="55">
        <v>42445</v>
      </c>
      <c r="P30" s="56" t="s">
        <v>181</v>
      </c>
      <c r="Q30" s="56" t="s">
        <v>138</v>
      </c>
      <c r="R30" s="65" t="s">
        <v>158</v>
      </c>
    </row>
    <row r="31" spans="1:18" ht="15.75" thickBot="1" x14ac:dyDescent="0.3">
      <c r="A31" s="66">
        <v>42423</v>
      </c>
      <c r="B31" s="67" t="s">
        <v>146</v>
      </c>
      <c r="C31" s="69" t="s">
        <v>138</v>
      </c>
      <c r="D31" s="71" t="s">
        <v>136</v>
      </c>
      <c r="G31" s="66">
        <v>42146</v>
      </c>
      <c r="H31" s="67" t="s">
        <v>160</v>
      </c>
      <c r="I31" s="67" t="s">
        <v>138</v>
      </c>
      <c r="J31" s="65" t="s">
        <v>158</v>
      </c>
      <c r="K31" s="65" t="s">
        <v>158</v>
      </c>
      <c r="L31" s="65" t="s">
        <v>158</v>
      </c>
      <c r="O31" s="55">
        <v>42445</v>
      </c>
      <c r="P31" s="56" t="s">
        <v>182</v>
      </c>
      <c r="Q31" s="56" t="s">
        <v>138</v>
      </c>
      <c r="R31" s="65" t="s">
        <v>158</v>
      </c>
    </row>
    <row r="32" spans="1:18" ht="15.75" thickBot="1" x14ac:dyDescent="0.3">
      <c r="A32" s="66">
        <v>42423</v>
      </c>
      <c r="B32" s="67" t="s">
        <v>172</v>
      </c>
      <c r="C32" s="69" t="s">
        <v>138</v>
      </c>
      <c r="D32" s="65" t="s">
        <v>158</v>
      </c>
      <c r="G32" s="66">
        <v>42146</v>
      </c>
      <c r="H32" s="67" t="s">
        <v>161</v>
      </c>
      <c r="I32" s="67" t="s">
        <v>162</v>
      </c>
      <c r="J32" s="65" t="s">
        <v>158</v>
      </c>
      <c r="K32" s="65" t="s">
        <v>158</v>
      </c>
      <c r="L32" s="65" t="s">
        <v>158</v>
      </c>
      <c r="O32" s="55">
        <v>42445</v>
      </c>
      <c r="P32" s="56" t="s">
        <v>147</v>
      </c>
      <c r="Q32" s="56" t="s">
        <v>138</v>
      </c>
      <c r="R32" s="65" t="s">
        <v>158</v>
      </c>
    </row>
    <row r="33" spans="1:18" ht="15.75" thickBot="1" x14ac:dyDescent="0.3">
      <c r="A33" s="66">
        <v>42423</v>
      </c>
      <c r="B33" s="67" t="s">
        <v>148</v>
      </c>
      <c r="C33" s="69" t="s">
        <v>138</v>
      </c>
      <c r="D33" s="71" t="s">
        <v>136</v>
      </c>
      <c r="G33" s="66">
        <v>42146</v>
      </c>
      <c r="H33" s="67" t="s">
        <v>152</v>
      </c>
      <c r="I33" s="67" t="s">
        <v>138</v>
      </c>
      <c r="J33" s="65" t="s">
        <v>158</v>
      </c>
      <c r="K33" s="65" t="s">
        <v>158</v>
      </c>
      <c r="L33" s="65" t="s">
        <v>158</v>
      </c>
      <c r="O33" s="55">
        <v>42445</v>
      </c>
      <c r="P33" s="56" t="s">
        <v>148</v>
      </c>
      <c r="Q33" s="56" t="s">
        <v>138</v>
      </c>
      <c r="R33" s="65" t="s">
        <v>158</v>
      </c>
    </row>
    <row r="34" spans="1:18" ht="15.75" thickBot="1" x14ac:dyDescent="0.3">
      <c r="A34" s="66">
        <v>42423</v>
      </c>
      <c r="B34" s="67" t="s">
        <v>149</v>
      </c>
      <c r="C34" s="67" t="s">
        <v>138</v>
      </c>
      <c r="D34" s="71" t="s">
        <v>136</v>
      </c>
      <c r="O34" s="55">
        <v>42445</v>
      </c>
      <c r="P34" s="56" t="s">
        <v>149</v>
      </c>
      <c r="Q34" s="56" t="s">
        <v>138</v>
      </c>
      <c r="R34" s="65" t="s">
        <v>158</v>
      </c>
    </row>
    <row r="35" spans="1:18" ht="15.75" thickBot="1" x14ac:dyDescent="0.3">
      <c r="A35" s="66">
        <v>42423</v>
      </c>
      <c r="B35" s="67" t="s">
        <v>150</v>
      </c>
      <c r="C35" s="67" t="s">
        <v>138</v>
      </c>
      <c r="D35" s="71" t="s">
        <v>136</v>
      </c>
      <c r="O35" s="55">
        <v>42445</v>
      </c>
      <c r="P35" s="56" t="s">
        <v>150</v>
      </c>
      <c r="Q35" s="56" t="s">
        <v>138</v>
      </c>
      <c r="R35" s="65" t="s">
        <v>158</v>
      </c>
    </row>
    <row r="36" spans="1:18" ht="15.75" thickBot="1" x14ac:dyDescent="0.3">
      <c r="A36" s="66">
        <v>42423</v>
      </c>
      <c r="B36" s="67" t="s">
        <v>160</v>
      </c>
      <c r="C36" s="67" t="s">
        <v>138</v>
      </c>
      <c r="D36" s="71" t="s">
        <v>136</v>
      </c>
      <c r="O36" s="55">
        <v>42445</v>
      </c>
      <c r="P36" s="56" t="s">
        <v>183</v>
      </c>
      <c r="Q36" s="56" t="s">
        <v>138</v>
      </c>
      <c r="R36" s="65" t="s">
        <v>158</v>
      </c>
    </row>
    <row r="37" spans="1:18" ht="15.75" thickBot="1" x14ac:dyDescent="0.3">
      <c r="A37" s="66">
        <v>42424</v>
      </c>
      <c r="B37" s="67" t="s">
        <v>173</v>
      </c>
      <c r="C37" s="67" t="s">
        <v>138</v>
      </c>
      <c r="D37" s="71" t="s">
        <v>136</v>
      </c>
      <c r="O37" s="55">
        <v>42445</v>
      </c>
      <c r="P37" s="56" t="s">
        <v>152</v>
      </c>
      <c r="Q37" s="56" t="s">
        <v>138</v>
      </c>
      <c r="R37" s="65" t="s">
        <v>158</v>
      </c>
    </row>
    <row r="38" spans="1:18" ht="15.75" thickBot="1" x14ac:dyDescent="0.3">
      <c r="A38" s="66">
        <v>42424</v>
      </c>
      <c r="B38" s="67" t="s">
        <v>152</v>
      </c>
      <c r="C38" s="67" t="s">
        <v>138</v>
      </c>
      <c r="D38" s="71" t="s">
        <v>136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2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width="20.140625" style="42" customWidth="1"/>
    <col min="2" max="2" width="10.85546875" bestFit="1" customWidth="1"/>
    <col min="4" max="5" width="11" customWidth="1"/>
    <col min="6" max="6" width="12.85546875" customWidth="1"/>
    <col min="7" max="7" width="52.5703125" customWidth="1"/>
  </cols>
  <sheetData>
    <row r="1" spans="1:7" ht="16.5" thickTop="1" thickBot="1" x14ac:dyDescent="0.3">
      <c r="A1" s="73" t="s">
        <v>64</v>
      </c>
      <c r="B1" s="46" t="s">
        <v>100</v>
      </c>
      <c r="C1" s="46" t="s">
        <v>101</v>
      </c>
      <c r="D1" s="46" t="s">
        <v>102</v>
      </c>
      <c r="E1" s="46" t="s">
        <v>103</v>
      </c>
      <c r="F1" s="46" t="s">
        <v>104</v>
      </c>
      <c r="G1" s="47" t="s">
        <v>105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3.42578125" style="42" customWidth="1"/>
    <col min="2" max="2" width="13.42578125" customWidth="1"/>
    <col min="3" max="3" width="40.42578125" customWidth="1"/>
    <col min="5" max="5" width="13.28515625" customWidth="1"/>
    <col min="6" max="6" width="11.28515625" customWidth="1"/>
    <col min="7" max="7" width="9.5703125" customWidth="1"/>
  </cols>
  <sheetData>
    <row r="1" spans="1:7" ht="16.5" thickTop="1" thickBot="1" x14ac:dyDescent="0.3">
      <c r="A1" s="73" t="s">
        <v>64</v>
      </c>
      <c r="B1" s="46" t="s">
        <v>100</v>
      </c>
      <c r="C1" s="46" t="s">
        <v>106</v>
      </c>
      <c r="D1" s="46" t="s">
        <v>107</v>
      </c>
      <c r="E1" s="46" t="s">
        <v>108</v>
      </c>
      <c r="F1" s="48" t="s">
        <v>103</v>
      </c>
      <c r="G1" s="49" t="s">
        <v>100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width="22.85546875" style="42" customWidth="1"/>
    <col min="17" max="17" width="104" customWidth="1"/>
  </cols>
  <sheetData>
    <row r="1" spans="1:19" ht="16.5" thickTop="1" thickBot="1" x14ac:dyDescent="0.3">
      <c r="A1" s="73" t="s">
        <v>64</v>
      </c>
      <c r="B1" s="46" t="s">
        <v>109</v>
      </c>
      <c r="C1" s="46" t="s">
        <v>110</v>
      </c>
      <c r="D1" s="46" t="s">
        <v>111</v>
      </c>
      <c r="E1" s="46" t="s">
        <v>112</v>
      </c>
      <c r="F1" s="46" t="s">
        <v>113</v>
      </c>
      <c r="G1" s="46" t="s">
        <v>114</v>
      </c>
      <c r="H1" s="46" t="s">
        <v>115</v>
      </c>
      <c r="I1" s="46" t="s">
        <v>116</v>
      </c>
      <c r="J1" s="50" t="s">
        <v>117</v>
      </c>
      <c r="K1" s="46" t="s">
        <v>118</v>
      </c>
      <c r="L1" s="46" t="s">
        <v>119</v>
      </c>
      <c r="M1" s="50" t="s">
        <v>120</v>
      </c>
      <c r="N1" s="46" t="s">
        <v>121</v>
      </c>
      <c r="O1" s="46" t="s">
        <v>102</v>
      </c>
      <c r="P1" s="46" t="s">
        <v>122</v>
      </c>
      <c r="Q1" s="46" t="s">
        <v>123</v>
      </c>
      <c r="R1" s="51" t="s">
        <v>124</v>
      </c>
      <c r="S1" s="52" t="s">
        <v>88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20.28515625" style="42" customWidth="1"/>
    <col min="3" max="3" width="37.85546875" customWidth="1"/>
    <col min="4" max="4" width="9.42578125" customWidth="1"/>
    <col min="5" max="5" width="17.42578125" customWidth="1"/>
    <col min="6" max="6" width="14.140625" customWidth="1"/>
  </cols>
  <sheetData>
    <row r="1" spans="1:6" ht="16.5" thickTop="1" thickBot="1" x14ac:dyDescent="0.3">
      <c r="A1" s="73" t="s">
        <v>64</v>
      </c>
      <c r="B1" s="53" t="s">
        <v>125</v>
      </c>
      <c r="C1" s="53" t="s">
        <v>127</v>
      </c>
      <c r="D1" s="53" t="s">
        <v>126</v>
      </c>
      <c r="E1" s="53" t="s">
        <v>128</v>
      </c>
      <c r="F1" s="53" t="s">
        <v>129</v>
      </c>
    </row>
    <row r="2" spans="1:6" ht="15.75" thickTop="1" x14ac:dyDescent="0.25"/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width="21.5703125" style="42" customWidth="1"/>
    <col min="2" max="2" width="18.85546875" customWidth="1"/>
    <col min="3" max="3" width="21.5703125" customWidth="1"/>
  </cols>
  <sheetData>
    <row r="1" spans="1:3" x14ac:dyDescent="0.25">
      <c r="A1" s="74" t="s">
        <v>64</v>
      </c>
      <c r="B1" s="72" t="s">
        <v>184</v>
      </c>
      <c r="C1" s="72" t="s">
        <v>185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2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88</v>
      </c>
      <c r="B1" s="1" t="s">
        <v>3</v>
      </c>
      <c r="C1" s="8" t="s">
        <v>30</v>
      </c>
      <c r="D1" s="8" t="s">
        <v>31</v>
      </c>
      <c r="E1" s="8"/>
      <c r="F1" s="8" t="s">
        <v>32</v>
      </c>
      <c r="G1" s="8" t="s">
        <v>33</v>
      </c>
      <c r="H1" s="8" t="s">
        <v>34</v>
      </c>
      <c r="I1" s="8" t="s">
        <v>3</v>
      </c>
      <c r="J1" s="8" t="s">
        <v>35</v>
      </c>
      <c r="K1" s="8" t="s">
        <v>8</v>
      </c>
      <c r="L1" s="8" t="s">
        <v>36</v>
      </c>
      <c r="M1" s="8" t="s">
        <v>25</v>
      </c>
      <c r="N1" s="8" t="s">
        <v>37</v>
      </c>
      <c r="O1" s="8" t="s">
        <v>38</v>
      </c>
      <c r="P1" s="8" t="s">
        <v>39</v>
      </c>
      <c r="Q1" s="8" t="s">
        <v>40</v>
      </c>
      <c r="R1" s="8" t="s">
        <v>41</v>
      </c>
      <c r="S1" s="8" t="s">
        <v>42</v>
      </c>
      <c r="T1" s="8" t="s">
        <v>43</v>
      </c>
    </row>
    <row r="2" spans="1:22" ht="15.75" thickTop="1" x14ac:dyDescent="0.25"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3:22" x14ac:dyDescent="0.25"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3:22" x14ac:dyDescent="0.25">
      <c r="C18" s="42"/>
      <c r="D18" s="42"/>
      <c r="E18" s="42"/>
      <c r="F18" s="42"/>
      <c r="G18" s="42"/>
      <c r="H18" s="42"/>
      <c r="I18" s="42"/>
      <c r="J18" s="44"/>
      <c r="K18" s="44"/>
      <c r="L18" s="44"/>
      <c r="M18" s="44"/>
      <c r="N18" s="44"/>
      <c r="O18" s="42"/>
      <c r="P18" s="42"/>
      <c r="Q18" s="42"/>
      <c r="R18" s="42"/>
      <c r="S18" s="42"/>
      <c r="T18" s="42"/>
      <c r="U18" s="42"/>
      <c r="V18" s="42"/>
    </row>
    <row r="19" spans="3:22" x14ac:dyDescent="0.25">
      <c r="C19" s="42"/>
      <c r="D19" s="42"/>
      <c r="E19" s="42"/>
      <c r="F19" s="42"/>
      <c r="G19" s="42"/>
      <c r="H19" s="42"/>
      <c r="I19" s="42"/>
      <c r="J19" s="44"/>
      <c r="K19" s="44"/>
      <c r="L19" s="44"/>
      <c r="M19" s="44"/>
      <c r="N19" s="44"/>
      <c r="O19" s="42"/>
      <c r="P19" s="42"/>
      <c r="Q19" s="42"/>
      <c r="R19" s="42"/>
      <c r="S19" s="42"/>
      <c r="T19" s="42"/>
      <c r="U19" s="42"/>
      <c r="V19" s="42"/>
    </row>
    <row r="20" spans="3:22" x14ac:dyDescent="0.25">
      <c r="C20" s="42"/>
      <c r="D20" s="42"/>
      <c r="E20" s="42"/>
      <c r="F20" s="42"/>
      <c r="G20" s="42"/>
      <c r="H20" s="42"/>
      <c r="I20" s="42"/>
      <c r="J20" s="44"/>
      <c r="K20" s="44"/>
      <c r="L20" s="44"/>
      <c r="M20" s="44"/>
      <c r="N20" s="44"/>
      <c r="O20" s="42"/>
      <c r="P20" s="42"/>
      <c r="Q20" s="42"/>
      <c r="R20" s="42"/>
      <c r="S20" s="42"/>
      <c r="T20" s="42"/>
      <c r="U20" s="42"/>
      <c r="V20" s="42"/>
    </row>
    <row r="21" spans="3:22" x14ac:dyDescent="0.25"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3:22" x14ac:dyDescent="0.25"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3:22" x14ac:dyDescent="0.25"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3:22" x14ac:dyDescent="0.25"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3:22" x14ac:dyDescent="0.25"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3:22" x14ac:dyDescent="0.25"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3:22" x14ac:dyDescent="0.25"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3:22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3:22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3:22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3:22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3:22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3:22" x14ac:dyDescent="0.25"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3:22" x14ac:dyDescent="0.2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3:22" x14ac:dyDescent="0.25"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3:22" x14ac:dyDescent="0.25"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3:22" x14ac:dyDescent="0.25"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3:22" x14ac:dyDescent="0.25"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3:22" x14ac:dyDescent="0.25"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3:22" x14ac:dyDescent="0.25"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3:22" x14ac:dyDescent="0.25"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3:22" x14ac:dyDescent="0.25"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3:22" x14ac:dyDescent="0.25"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3:22" x14ac:dyDescent="0.2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3:22" x14ac:dyDescent="0.25"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3:22" x14ac:dyDescent="0.25"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3:22" x14ac:dyDescent="0.25"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3:22" x14ac:dyDescent="0.25"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3:22" x14ac:dyDescent="0.25"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3:22" x14ac:dyDescent="0.25"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</row>
    <row r="51" spans="3:22" x14ac:dyDescent="0.25"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3:22" x14ac:dyDescent="0.25"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</row>
    <row r="53" spans="3:22" x14ac:dyDescent="0.25"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3:22" x14ac:dyDescent="0.25"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</row>
    <row r="55" spans="3:22" x14ac:dyDescent="0.25"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3:22" x14ac:dyDescent="0.25"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3:22" x14ac:dyDescent="0.25"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3:22" x14ac:dyDescent="0.25"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3:22" x14ac:dyDescent="0.25"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3:22" x14ac:dyDescent="0.25"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3:22" x14ac:dyDescent="0.25"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3:22" x14ac:dyDescent="0.25"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3:22" x14ac:dyDescent="0.25"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3:22" x14ac:dyDescent="0.25"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3:22" x14ac:dyDescent="0.25"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3:22" x14ac:dyDescent="0.25"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4"/>
      <c r="R66" s="44"/>
      <c r="S66" s="44"/>
      <c r="T66" s="44"/>
      <c r="U66" s="42"/>
      <c r="V66" s="42"/>
    </row>
    <row r="67" spans="3:22" x14ac:dyDescent="0.25"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4"/>
      <c r="R67" s="44"/>
      <c r="S67" s="44"/>
      <c r="T67" s="44"/>
      <c r="U67" s="42"/>
      <c r="V67" s="42"/>
    </row>
    <row r="68" spans="3:22" x14ac:dyDescent="0.25"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3:22" x14ac:dyDescent="0.25"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3:22" x14ac:dyDescent="0.25"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3:22" x14ac:dyDescent="0.25"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3:22" x14ac:dyDescent="0.25"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3:22" x14ac:dyDescent="0.25"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3:22" x14ac:dyDescent="0.25"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4"/>
      <c r="R74" s="44"/>
      <c r="S74" s="44"/>
      <c r="T74" s="44"/>
      <c r="U74" s="42"/>
      <c r="V74" s="42"/>
    </row>
    <row r="75" spans="3:22" x14ac:dyDescent="0.25"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4"/>
      <c r="R75" s="44"/>
      <c r="S75" s="44"/>
      <c r="T75" s="44"/>
      <c r="U75" s="42"/>
      <c r="V75" s="42"/>
    </row>
    <row r="76" spans="3:22" x14ac:dyDescent="0.25"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</row>
    <row r="77" spans="3:22" x14ac:dyDescent="0.25"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3:22" x14ac:dyDescent="0.25"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</row>
    <row r="79" spans="3:22" x14ac:dyDescent="0.25"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3:22" x14ac:dyDescent="0.25"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</row>
    <row r="81" spans="3:22" x14ac:dyDescent="0.25"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3:22" x14ac:dyDescent="0.25"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</row>
    <row r="83" spans="3:22" x14ac:dyDescent="0.25"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3:22" x14ac:dyDescent="0.25"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</row>
    <row r="85" spans="3:22" x14ac:dyDescent="0.25"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3:22" x14ac:dyDescent="0.25"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</row>
    <row r="87" spans="3:22" x14ac:dyDescent="0.25"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3:22" x14ac:dyDescent="0.25"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</row>
    <row r="89" spans="3:22" x14ac:dyDescent="0.25"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3:22" x14ac:dyDescent="0.25"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</row>
    <row r="91" spans="3:22" x14ac:dyDescent="0.25"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3:22" x14ac:dyDescent="0.25"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</row>
    <row r="93" spans="3:22" x14ac:dyDescent="0.25"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3:22" x14ac:dyDescent="0.25"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</row>
    <row r="95" spans="3:22" x14ac:dyDescent="0.25"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3:22" x14ac:dyDescent="0.25"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</row>
    <row r="97" spans="3:22" x14ac:dyDescent="0.25"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3:22" x14ac:dyDescent="0.25"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</row>
    <row r="99" spans="3:22" x14ac:dyDescent="0.25"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3:22" x14ac:dyDescent="0.25"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</row>
    <row r="101" spans="3:22" x14ac:dyDescent="0.25"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3:22" x14ac:dyDescent="0.25"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</row>
    <row r="103" spans="3:22" x14ac:dyDescent="0.25"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3:22" x14ac:dyDescent="0.25"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</row>
    <row r="105" spans="3:22" x14ac:dyDescent="0.25"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3:22" x14ac:dyDescent="0.25"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</row>
    <row r="107" spans="3:22" x14ac:dyDescent="0.25"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3:22" x14ac:dyDescent="0.25"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</row>
    <row r="109" spans="3:22" x14ac:dyDescent="0.25"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3:22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</row>
    <row r="111" spans="3:22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3:22" x14ac:dyDescent="0.25"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</row>
    <row r="113" spans="3:22" x14ac:dyDescent="0.25"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3:22" x14ac:dyDescent="0.25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</row>
    <row r="115" spans="3:22" x14ac:dyDescent="0.25"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3:22" x14ac:dyDescent="0.25"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</row>
    <row r="117" spans="3:22" x14ac:dyDescent="0.25"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3:22" x14ac:dyDescent="0.25"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</row>
    <row r="119" spans="3:22" x14ac:dyDescent="0.25"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3:22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</row>
    <row r="121" spans="3:22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3:22" x14ac:dyDescent="0.25"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</row>
    <row r="123" spans="3:22" x14ac:dyDescent="0.25"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3:22" x14ac:dyDescent="0.25"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</row>
    <row r="125" spans="3:22" x14ac:dyDescent="0.25"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3:22" x14ac:dyDescent="0.25"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</row>
    <row r="127" spans="3:22" x14ac:dyDescent="0.25"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3:22" x14ac:dyDescent="0.25"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</row>
    <row r="129" spans="3:22" x14ac:dyDescent="0.25"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3:22" x14ac:dyDescent="0.25"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</row>
    <row r="131" spans="3:22" x14ac:dyDescent="0.25"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3:22" x14ac:dyDescent="0.25"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</row>
    <row r="133" spans="3:22" x14ac:dyDescent="0.25"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3:22" x14ac:dyDescent="0.25"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</row>
    <row r="135" spans="3:22" x14ac:dyDescent="0.25"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3:22" x14ac:dyDescent="0.25"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</row>
    <row r="137" spans="3:22" x14ac:dyDescent="0.25"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3:22" x14ac:dyDescent="0.25"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</row>
    <row r="139" spans="3:22" x14ac:dyDescent="0.25"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3:22" x14ac:dyDescent="0.25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</row>
    <row r="141" spans="3:22" x14ac:dyDescent="0.25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3:22" x14ac:dyDescent="0.25"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</row>
    <row r="143" spans="3:22" x14ac:dyDescent="0.25"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3:22" x14ac:dyDescent="0.25"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</row>
    <row r="145" spans="3:22" x14ac:dyDescent="0.25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3:22" x14ac:dyDescent="0.25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</row>
    <row r="147" spans="3:22" x14ac:dyDescent="0.25"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3:22" x14ac:dyDescent="0.25"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</row>
    <row r="149" spans="3:22" x14ac:dyDescent="0.25"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3:22" x14ac:dyDescent="0.25"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</row>
    <row r="151" spans="3:22" x14ac:dyDescent="0.25"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3:22" x14ac:dyDescent="0.25"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</row>
    <row r="153" spans="3:22" x14ac:dyDescent="0.25"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3:22" x14ac:dyDescent="0.25"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</row>
    <row r="155" spans="3:22" x14ac:dyDescent="0.25"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3:22" x14ac:dyDescent="0.25"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</row>
    <row r="157" spans="3:22" x14ac:dyDescent="0.25"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3:22" x14ac:dyDescent="0.25"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</row>
    <row r="159" spans="3:22" x14ac:dyDescent="0.25"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3:22" x14ac:dyDescent="0.25"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</row>
    <row r="161" spans="3:22" x14ac:dyDescent="0.25"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3:22" x14ac:dyDescent="0.25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</row>
    <row r="163" spans="3:22" x14ac:dyDescent="0.25"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3:22" x14ac:dyDescent="0.25"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</row>
    <row r="165" spans="3:22" x14ac:dyDescent="0.25"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3:22" x14ac:dyDescent="0.25"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</row>
    <row r="167" spans="3:22" x14ac:dyDescent="0.25"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3:22" x14ac:dyDescent="0.25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</row>
    <row r="169" spans="3:22" x14ac:dyDescent="0.25"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3:22" x14ac:dyDescent="0.25"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3" t="s">
        <v>55</v>
      </c>
      <c r="B1"/>
      <c r="C1" s="90"/>
      <c r="D1" s="90"/>
      <c r="E1" s="90"/>
      <c r="H1" s="90"/>
      <c r="I1" s="90"/>
      <c r="J1" s="90"/>
      <c r="K1" s="90"/>
      <c r="L1" s="90"/>
      <c r="M1" s="90"/>
      <c r="N1" s="90"/>
      <c r="O1" s="90"/>
      <c r="P1" s="90"/>
      <c r="Q1" s="90"/>
    </row>
    <row r="2" spans="1:21" s="7" customFormat="1" ht="16.5" thickTop="1" thickBot="1" x14ac:dyDescent="0.3">
      <c r="A2" s="1" t="s">
        <v>30</v>
      </c>
      <c r="B2" s="1" t="s">
        <v>3</v>
      </c>
      <c r="C2" s="1" t="s">
        <v>90</v>
      </c>
      <c r="D2" s="1" t="s">
        <v>91</v>
      </c>
      <c r="E2" s="1" t="s">
        <v>16</v>
      </c>
      <c r="F2" s="1" t="s">
        <v>17</v>
      </c>
      <c r="G2" s="1" t="s">
        <v>53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24</v>
      </c>
      <c r="O2" s="1" t="s">
        <v>25</v>
      </c>
      <c r="P2" s="1" t="s">
        <v>26</v>
      </c>
      <c r="Q2" s="1" t="s">
        <v>27</v>
      </c>
      <c r="R2" s="1" t="s">
        <v>29</v>
      </c>
      <c r="S2" s="1" t="s">
        <v>28</v>
      </c>
      <c r="T2" s="1" t="s">
        <v>7</v>
      </c>
      <c r="U2" s="42"/>
    </row>
    <row r="3" spans="1:21" s="7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0" t="s">
        <v>55</v>
      </c>
      <c r="B1" s="10"/>
      <c r="C1" s="10"/>
      <c r="D1" s="10"/>
      <c r="E1" s="10"/>
      <c r="F1" s="10"/>
    </row>
    <row r="2" spans="1:6" ht="15.75" thickTop="1" x14ac:dyDescent="0.25">
      <c r="A2" s="11" t="s">
        <v>3</v>
      </c>
      <c r="B2" s="43" t="s">
        <v>44</v>
      </c>
      <c r="C2" s="43" t="s">
        <v>92</v>
      </c>
      <c r="D2" s="43" t="s">
        <v>45</v>
      </c>
      <c r="E2" s="43" t="s">
        <v>46</v>
      </c>
      <c r="F2" s="43" t="s">
        <v>47</v>
      </c>
    </row>
    <row r="3" spans="1:6" x14ac:dyDescent="0.25">
      <c r="E3" s="44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2" bestFit="1" customWidth="1"/>
    <col min="2" max="2" width="9.7109375" style="42" bestFit="1" customWidth="1"/>
    <col min="3" max="3" width="8.5703125" style="42" bestFit="1" customWidth="1"/>
    <col min="4" max="4" width="15" style="42" bestFit="1" customWidth="1"/>
    <col min="5" max="5" width="8" style="42" bestFit="1" customWidth="1"/>
    <col min="6" max="6" width="39" style="42" bestFit="1" customWidth="1"/>
    <col min="7" max="7" width="17.7109375" style="42" bestFit="1" customWidth="1"/>
    <col min="8" max="10" width="255.7109375" style="42" bestFit="1" customWidth="1"/>
    <col min="11" max="11" width="18.28515625" style="42" bestFit="1" customWidth="1"/>
    <col min="12" max="16384" width="9.140625" style="42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"/>
  <sheetViews>
    <sheetView workbookViewId="0">
      <selection activeCell="F27" sqref="F27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9" t="s">
        <v>55</v>
      </c>
    </row>
    <row r="2" spans="1:4" ht="15.75" thickTop="1" x14ac:dyDescent="0.25">
      <c r="A2" s="12" t="s">
        <v>3</v>
      </c>
      <c r="B2" s="12" t="s">
        <v>48</v>
      </c>
      <c r="C2" s="12" t="s">
        <v>56</v>
      </c>
      <c r="D2" s="12" t="s">
        <v>54</v>
      </c>
    </row>
    <row r="3" spans="1:4" x14ac:dyDescent="0.25">
      <c r="A3" s="3" t="s">
        <v>0</v>
      </c>
      <c r="B3" s="5" t="s">
        <v>49</v>
      </c>
      <c r="C3" s="2" t="s">
        <v>50</v>
      </c>
      <c r="D3" s="3" t="s">
        <v>186</v>
      </c>
    </row>
    <row r="4" spans="1:4" x14ac:dyDescent="0.25">
      <c r="A4" s="3" t="s">
        <v>1</v>
      </c>
      <c r="B4" s="5" t="s">
        <v>51</v>
      </c>
      <c r="C4" s="5"/>
      <c r="D4" s="3" t="s">
        <v>155</v>
      </c>
    </row>
    <row r="5" spans="1:4" x14ac:dyDescent="0.25">
      <c r="A5" s="3" t="s">
        <v>2</v>
      </c>
      <c r="B5" s="5" t="s">
        <v>52</v>
      </c>
      <c r="C5" s="5"/>
      <c r="D5" s="3" t="s">
        <v>187</v>
      </c>
    </row>
    <row r="6" spans="1:4" x14ac:dyDescent="0.25">
      <c r="A6" s="3" t="s">
        <v>6</v>
      </c>
      <c r="C6" s="5"/>
      <c r="D6" s="3" t="s">
        <v>188</v>
      </c>
    </row>
    <row r="7" spans="1:4" x14ac:dyDescent="0.25">
      <c r="C7" s="5"/>
      <c r="D7" s="3" t="s">
        <v>189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bkokobe</cp:lastModifiedBy>
  <dcterms:created xsi:type="dcterms:W3CDTF">2012-12-13T08:07:28Z</dcterms:created>
  <dcterms:modified xsi:type="dcterms:W3CDTF">2016-05-27T19:57:01Z</dcterms:modified>
</cp:coreProperties>
</file>
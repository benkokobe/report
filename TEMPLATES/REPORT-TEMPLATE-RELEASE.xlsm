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/>
  </bookViews>
  <sheets>
    <sheet name="Summary" sheetId="1" r:id="rId1"/>
    <sheet name="STATUS report" sheetId="32" r:id="rId2"/>
    <sheet name="RIC checklist" sheetId="33" r:id="rId3"/>
    <sheet name="Patch list" sheetId="27" r:id="rId4"/>
    <sheet name="DB member list" sheetId="28" r:id="rId5"/>
    <sheet name="TFT op." sheetId="29" r:id="rId6"/>
    <sheet name="Synergy Objects" sheetId="34" r:id="rId7"/>
    <sheet name="DB tables impactes" sheetId="20" r:id="rId8"/>
    <sheet name="myStatus" sheetId="13" r:id="rId9"/>
  </sheets>
  <externalReferences>
    <externalReference r:id="rId10"/>
  </externalReferences>
  <definedNames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3" hidden="1">'Patch list'!$A$1:$G$1</definedName>
    <definedName name="_xlnm._FilterDatabase" localSheetId="0" hidden="1">Summary!$A$14:$F$38</definedName>
    <definedName name="_xlnm._FilterDatabase" localSheetId="5" hidden="1">'TFT op.'!$A$1:$S$1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19" i="1"/>
  <c r="C20" i="1"/>
  <c r="C23" i="1"/>
  <c r="C24" i="1"/>
  <c r="C25" i="1"/>
  <c r="C26" i="1"/>
  <c r="C29" i="1"/>
  <c r="C30" i="1"/>
  <c r="C31" i="1"/>
  <c r="C32" i="1"/>
  <c r="C33" i="1"/>
  <c r="C34" i="1"/>
  <c r="C35" i="1"/>
  <c r="C36" i="1"/>
  <c r="C37" i="1"/>
  <c r="C38" i="1"/>
  <c r="C40" i="1"/>
  <c r="C41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<sst xmlns="http://schemas.openxmlformats.org/spreadsheetml/2006/main" count="450" uniqueCount="216">
  <si>
    <t>Todo</t>
  </si>
  <si>
    <t>WIP</t>
  </si>
  <si>
    <t>Done</t>
  </si>
  <si>
    <t>Status</t>
  </si>
  <si>
    <t>Synopsis</t>
  </si>
  <si>
    <t>Steps</t>
  </si>
  <si>
    <t>Bypass</t>
  </si>
  <si>
    <t>Comments</t>
  </si>
  <si>
    <t>Project</t>
  </si>
  <si>
    <t>Task</t>
  </si>
  <si>
    <t>Risk</t>
  </si>
  <si>
    <t>Low</t>
  </si>
  <si>
    <t>BKO</t>
  </si>
  <si>
    <t>Medium</t>
  </si>
  <si>
    <t>High</t>
  </si>
  <si>
    <t>Environment</t>
  </si>
  <si>
    <t>ABC</t>
  </si>
  <si>
    <t>BD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</si>
  <si>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</si>
  <si>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</si>
  <si>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</si>
  <si>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</si>
  <si>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</si>
  <si>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</si>
  <si>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</si>
  <si>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</si>
  <si>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</si>
  <si>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</si>
  <si>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</si>
  <si>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</si>
  <si>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</si>
  <si>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</si>
  <si>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</si>
  <si>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</si>
  <si>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</si>
  <si>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</si>
  <si>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</si>
  <si>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</si>
  <si>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</si>
  <si>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</si>
  <si>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</si>
  <si>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</si>
  <si>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</si>
  <si>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</si>
  <si>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</si>
  <si>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</si>
  <si>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</si>
  <si>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</si>
  <si>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comment</t>
  </si>
  <si>
    <t>todo</t>
  </si>
  <si>
    <t>no</t>
  </si>
  <si>
    <t>zOS dst</t>
  </si>
  <si>
    <t>zOS src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</si>
  <si>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</si>
  <si>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</si>
  <si>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</si>
  <si>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</si>
  <si>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</si>
  <si>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</si>
  <si>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</si>
  <si>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</si>
  <si>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</si>
  <si>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</si>
  <si>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</si>
  <si>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</si>
  <si>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</si>
  <si>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</si>
  <si>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</si>
  <si>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</si>
  <si>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</si>
  <si>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</si>
  <si>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</si>
  <si>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</si>
  <si>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</si>
  <si>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</si>
  <si>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</si>
  <si>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</si>
  <si>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</si>
  <si>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</si>
  <si>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</si>
  <si>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</si>
  <si>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</si>
  <si>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DR closure</t>
  </si>
  <si>
    <t xml:space="preserve">Up </t>
  </si>
  <si>
    <t>P</t>
  </si>
  <si>
    <t>Up</t>
  </si>
  <si>
    <t>Manual operation before TOS</t>
  </si>
  <si>
    <t xml:space="preserve">P - order ( YE update) </t>
  </si>
  <si>
    <t>TOS execution</t>
  </si>
  <si>
    <t>Manual operation after TOS</t>
  </si>
  <si>
    <t>Build v2</t>
  </si>
  <si>
    <t>Build NG</t>
  </si>
  <si>
    <t>(Fix build issues)</t>
  </si>
  <si>
    <t>Environment available for testing</t>
  </si>
  <si>
    <t>TST</t>
  </si>
  <si>
    <t>O</t>
  </si>
  <si>
    <t xml:space="preserve">Deployment of sources </t>
  </si>
  <si>
    <t>Down</t>
  </si>
  <si>
    <t>Compare templates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</si>
  <si>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</si>
  <si>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</si>
  <si>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</si>
  <si>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</si>
  <si>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</si>
  <si>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</si>
  <si>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MEMBER TYPE</t>
  </si>
  <si>
    <t>TABLE</t>
  </si>
  <si>
    <t>Installation of SP/Module Pack …</t>
  </si>
  <si>
    <t>Release from PRG--&gt; BLD</t>
  </si>
  <si>
    <t>Release to binary environment</t>
  </si>
  <si>
    <t>Release title</t>
  </si>
  <si>
    <t>BLD</t>
  </si>
  <si>
    <t>Owner</t>
  </si>
  <si>
    <t>Download pack from repository</t>
  </si>
  <si>
    <t>RIC</t>
  </si>
  <si>
    <t>Creation of TOS</t>
  </si>
  <si>
    <t>Reception of the package</t>
  </si>
  <si>
    <t xml:space="preserve">Deployment of V2 binaries </t>
  </si>
  <si>
    <t>Synergy update</t>
  </si>
  <si>
    <t>Conflict Synergy: detection/resolution</t>
  </si>
  <si>
    <t xml:space="preserve">Deployment of NG </t>
  </si>
  <si>
    <t>Synergy conflict detection</t>
  </si>
  <si>
    <t>Manual Operation (before transfer)</t>
  </si>
  <si>
    <t>DB conflicts/resolution</t>
  </si>
  <si>
    <t>Restart of the servers</t>
  </si>
  <si>
    <t>TOS (P)</t>
  </si>
  <si>
    <t>Synergy conflicts detection</t>
  </si>
  <si>
    <t>Database conflicts detection</t>
  </si>
  <si>
    <t>Synergy conflicts resolution</t>
  </si>
  <si>
    <t>Configurator update + deploy</t>
  </si>
  <si>
    <t>Database conflicts resolution</t>
  </si>
  <si>
    <t>Unstable</t>
  </si>
  <si>
    <t>Templates</t>
  </si>
  <si>
    <t>TOS (H - U - B - T/O - A)</t>
  </si>
  <si>
    <t>Manual Operation (after transfer)</t>
  </si>
  <si>
    <t>V2 Build</t>
  </si>
  <si>
    <t>V3 Build</t>
  </si>
  <si>
    <t>Manual Operation (after build)</t>
  </si>
  <si>
    <t>Project/RIC</t>
  </si>
  <si>
    <t>Extract for DSL</t>
  </si>
  <si>
    <t>DONE</t>
  </si>
  <si>
    <t>NOTDONE</t>
  </si>
  <si>
    <t>#</t>
  </si>
  <si>
    <t>Step</t>
  </si>
  <si>
    <t>Details</t>
  </si>
  <si>
    <t>How</t>
  </si>
  <si>
    <t>PNG-TNG</t>
  </si>
  <si>
    <t>TNG-BLD</t>
  </si>
  <si>
    <t>BLD-ACC</t>
  </si>
  <si>
    <t>ACC-EXP</t>
  </si>
  <si>
    <t>Check the DR</t>
  </si>
  <si>
    <t>Are all patches attached to a DR?</t>
  </si>
  <si>
    <t>Report in Change</t>
  </si>
  <si>
    <t>x</t>
  </si>
  <si>
    <t>Are all patches closed?</t>
  </si>
  <si>
    <t>Query in Change</t>
  </si>
  <si>
    <t>Is everything patched?</t>
  </si>
  <si>
    <t>Execute a pk_cm compareall</t>
  </si>
  <si>
    <t>Manage the DR</t>
  </si>
  <si>
    <t>Is the DR in the correct status?</t>
  </si>
  <si>
    <t>Check in Change</t>
  </si>
  <si>
    <t>Manage the TOS</t>
  </si>
  <si>
    <t>Check the transfer operations generated</t>
  </si>
  <si>
    <t>Check in THALER/YFD07</t>
  </si>
  <si>
    <t>All transfers linked to the TOS should be in status 8800</t>
  </si>
  <si>
    <t>Check in table CWD80, linked with NUMTFT of YFD07</t>
  </si>
  <si>
    <t>No missing members</t>
  </si>
  <si>
    <t>No warning after pk_generate_tos (to check in $reports1)</t>
  </si>
  <si>
    <t>No errors during transfer operation generation</t>
  </si>
  <si>
    <t>No error log for YFCRTTFT, entries in warning log explained</t>
  </si>
  <si>
    <t>Update Synergy</t>
  </si>
  <si>
    <t>No update problems except “to ignore”</t>
  </si>
  <si>
    <t>Compare update issues with  missing_members_to_ignore list from the last delivery</t>
  </si>
  <si>
    <t>No conflicts except “to ignore”</t>
  </si>
  <si>
    <t>Compare conflicts list with conflicts_to_ignore from the last delivery</t>
  </si>
  <si>
    <t>Deploy into pysical</t>
  </si>
  <si>
    <t>No errors, except for sources created and deleted in same DR</t>
  </si>
  <si>
    <t>Check output of Deployment step</t>
  </si>
  <si>
    <t>Build V2</t>
  </si>
  <si>
    <t>No errors *err in $srcro/ $srctp/ $srcba</t>
  </si>
  <si>
    <t>ls *err</t>
  </si>
  <si>
    <t>All the containers are compiled</t>
  </si>
  <si>
    <t>Check the creation date of the executables in $exe</t>
  </si>
  <si>
    <t>Nod red logs</t>
  </si>
  <si>
    <t xml:space="preserve">Cruisecontol </t>
  </si>
  <si>
    <t xml:space="preserve">Check if the ear is well deployed </t>
  </si>
  <si>
    <t>Check the content of $jdep</t>
  </si>
  <si>
    <t>Call stillAlive link</t>
  </si>
  <si>
    <t>Monitor</t>
  </si>
  <si>
    <t>Status of the monitor?</t>
  </si>
  <si>
    <t>pk_stamoni 1</t>
  </si>
  <si>
    <t>Web service are deployed (*)</t>
  </si>
  <si>
    <t>Check if the WS are accesible : http://localhost:15341/jbossws/services</t>
  </si>
  <si>
    <t>Check timestamp of ear files</t>
  </si>
  <si>
    <t>Fas, bas server</t>
  </si>
  <si>
    <t>V2 container (+ JCA)</t>
  </si>
  <si>
    <t>pk_tm -lsctr</t>
  </si>
  <si>
    <t>TMC up</t>
  </si>
  <si>
    <t>Check in $TMDIR/bin if TMC exists &amp; pk_tm -lsctr | grep TMC</t>
  </si>
  <si>
    <t>Connection checks</t>
  </si>
  <si>
    <t>Log in on each channel (B2O/B2N/B2C)</t>
  </si>
  <si>
    <t>/!\ An user for each channel must be available /!\</t>
  </si>
  <si>
    <t>Check tos errors</t>
  </si>
  <si>
    <t>Run custom script (xxx_check.sh)</t>
  </si>
  <si>
    <t>Preparation release to higher env</t>
  </si>
  <si>
    <t>Adapt the TOS in case of modifications</t>
  </si>
  <si>
    <t>Ensure that the corrected TOS is repackaged</t>
  </si>
  <si>
    <t>Ensure that the last binaries are in the DSL repo</t>
  </si>
  <si>
    <t>Ensure that the ear files present in the DSL repo are the same as in $jdep of ACC</t>
  </si>
  <si>
    <t>Ensure that there's enough disk space in the higher environment</t>
  </si>
  <si>
    <t>Adapt the release note and add a check/ Script?</t>
  </si>
  <si>
    <t>task</t>
  </si>
  <si>
    <t>object</t>
  </si>
  <si>
    <t>type</t>
  </si>
  <si>
    <t>version</t>
  </si>
  <si>
    <t>instance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</si>
</sst>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color rgb="FFFF0000"/>
      <name val="Wingdings 2"/>
      <family val="1"/>
      <charset val="2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69BE28"/>
      <name val="Calibri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i/>
      <sz val="11"/>
      <color rgb="FFFFFFFF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153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2" tint="-0.89999084444715716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404040"/>
      </left>
      <right/>
      <top style="medium">
        <color rgb="FF404040"/>
      </top>
      <bottom style="medium">
        <color rgb="FF404040"/>
      </bottom>
      <diagonal/>
    </border>
    <border>
      <left/>
      <right/>
      <top style="medium">
        <color rgb="FF404040"/>
      </top>
      <bottom style="medium">
        <color rgb="FF404040"/>
      </bottom>
      <diagonal/>
    </border>
    <border>
      <left/>
      <right style="medium">
        <color rgb="FF404040"/>
      </right>
      <top style="medium">
        <color rgb="FF404040"/>
      </top>
      <bottom style="medium">
        <color rgb="FF404040"/>
      </bottom>
      <diagonal/>
    </border>
    <border>
      <left style="medium">
        <color indexed="64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indexed="64"/>
      </right>
      <top/>
      <bottom style="medium">
        <color rgb="FF3F3F3F"/>
      </bottom>
      <diagonal/>
    </border>
    <border>
      <left style="medium">
        <color rgb="FF404040"/>
      </left>
      <right/>
      <top/>
      <bottom style="medium">
        <color rgb="FF404040"/>
      </bottom>
      <diagonal/>
    </border>
    <border>
      <left/>
      <right/>
      <top/>
      <bottom style="medium">
        <color rgb="FF404040"/>
      </bottom>
      <diagonal/>
    </border>
    <border>
      <left style="medium">
        <color rgb="FF404040"/>
      </left>
      <right/>
      <top/>
      <bottom/>
      <diagonal/>
    </border>
    <border>
      <left style="medium">
        <color indexed="64"/>
      </left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/>
      <bottom style="medium">
        <color rgb="FF3F3F3F"/>
      </bottom>
      <diagonal/>
    </border>
    <border>
      <left style="double">
        <color rgb="FF3F3F3F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1" fillId="0" borderId="0"/>
    <xf numFmtId="0" fontId="23" fillId="35" borderId="23" applyNumberFormat="0" applyAlignment="0" applyProtection="0"/>
    <xf numFmtId="0" fontId="24" fillId="36" borderId="0" applyNumberFormat="0" applyBorder="0" applyAlignment="0" applyProtection="0"/>
  </cellStyleXfs>
  <cellXfs count="90">
    <xf numFmtId="0" fontId="0" fillId="0" borderId="0" xfId="0"/>
    <xf numFmtId="0" fontId="0" fillId="0" borderId="0" xfId="0"/>
    <xf numFmtId="0" fontId="0" fillId="0" borderId="10" xfId="0" applyBorder="1"/>
    <xf numFmtId="0" fontId="0" fillId="0" borderId="14" xfId="0" applyBorder="1"/>
    <xf numFmtId="0" fontId="13" fillId="7" borderId="20" xfId="13" applyBorder="1" applyAlignment="1">
      <alignment horizontal="center"/>
    </xf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0" xfId="0"/>
    <xf numFmtId="0" fontId="13" fillId="7" borderId="20" xfId="13" applyBorder="1" applyAlignment="1">
      <alignment horizontal="center" vertical="center"/>
    </xf>
    <xf numFmtId="0" fontId="23" fillId="35" borderId="23" xfId="44" applyNumberFormat="1" applyFont="1" applyAlignment="1" applyProtection="1"/>
    <xf numFmtId="0" fontId="23" fillId="35" borderId="24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4" fillId="36" borderId="23" xfId="45" applyNumberFormat="1" applyFont="1" applyBorder="1" applyAlignment="1" applyProtection="1"/>
    <xf numFmtId="0" fontId="24" fillId="36" borderId="0" xfId="45" applyNumberFormat="1" applyFont="1" applyBorder="1" applyAlignment="1" applyProtection="1"/>
    <xf numFmtId="0" fontId="23" fillId="35" borderId="25" xfId="44" applyNumberFormat="1" applyFont="1" applyBorder="1" applyAlignment="1" applyProtection="1"/>
    <xf numFmtId="0" fontId="26" fillId="38" borderId="29" xfId="0" applyFont="1" applyFill="1" applyBorder="1" applyAlignment="1">
      <alignment vertical="center"/>
    </xf>
    <xf numFmtId="0" fontId="27" fillId="38" borderId="29" xfId="0" applyFont="1" applyFill="1" applyBorder="1" applyAlignment="1">
      <alignment horizontal="center" vertical="center"/>
    </xf>
    <xf numFmtId="0" fontId="28" fillId="38" borderId="29" xfId="0" applyFont="1" applyFill="1" applyBorder="1" applyAlignment="1">
      <alignment horizontal="center" vertical="center"/>
    </xf>
    <xf numFmtId="0" fontId="29" fillId="39" borderId="0" xfId="0" applyFont="1" applyFill="1"/>
    <xf numFmtId="0" fontId="6" fillId="2" borderId="0" xfId="6"/>
    <xf numFmtId="0" fontId="30" fillId="2" borderId="0" xfId="6" applyFont="1"/>
    <xf numFmtId="0" fontId="16" fillId="0" borderId="0" xfId="0" applyFont="1"/>
    <xf numFmtId="0" fontId="25" fillId="37" borderId="32" xfId="0" applyFont="1" applyFill="1" applyBorder="1" applyAlignment="1">
      <alignment vertical="center"/>
    </xf>
    <xf numFmtId="0" fontId="25" fillId="37" borderId="33" xfId="0" applyFont="1" applyFill="1" applyBorder="1" applyAlignment="1">
      <alignment vertical="center"/>
    </xf>
    <xf numFmtId="0" fontId="31" fillId="40" borderId="37" xfId="0" applyFont="1" applyFill="1" applyBorder="1" applyAlignment="1">
      <alignment vertical="center"/>
    </xf>
    <xf numFmtId="0" fontId="31" fillId="40" borderId="38" xfId="0" applyFont="1" applyFill="1" applyBorder="1" applyAlignment="1">
      <alignment vertical="center"/>
    </xf>
    <xf numFmtId="0" fontId="31" fillId="40" borderId="38" xfId="0" applyFont="1" applyFill="1" applyBorder="1" applyAlignment="1">
      <alignment horizontal="center" vertical="center"/>
    </xf>
    <xf numFmtId="0" fontId="26" fillId="38" borderId="28" xfId="0" applyFont="1" applyFill="1" applyBorder="1" applyAlignment="1">
      <alignment vertical="center"/>
    </xf>
    <xf numFmtId="0" fontId="26" fillId="38" borderId="19" xfId="0" applyFont="1" applyFill="1" applyBorder="1" applyAlignment="1">
      <alignment vertical="center"/>
    </xf>
    <xf numFmtId="0" fontId="33" fillId="42" borderId="39" xfId="0" applyFont="1" applyFill="1" applyBorder="1" applyAlignment="1">
      <alignment vertical="center"/>
    </xf>
    <xf numFmtId="0" fontId="33" fillId="42" borderId="40" xfId="0" applyFont="1" applyFill="1" applyBorder="1" applyAlignment="1">
      <alignment vertical="center"/>
    </xf>
    <xf numFmtId="0" fontId="26" fillId="38" borderId="37" xfId="0" applyFont="1" applyFill="1" applyBorder="1" applyAlignment="1">
      <alignment vertical="center"/>
    </xf>
    <xf numFmtId="0" fontId="26" fillId="38" borderId="30" xfId="0" applyFont="1" applyFill="1" applyBorder="1" applyAlignment="1">
      <alignment vertical="center"/>
    </xf>
    <xf numFmtId="0" fontId="26" fillId="0" borderId="41" xfId="0" applyFont="1" applyBorder="1" applyAlignment="1">
      <alignment vertical="center"/>
    </xf>
    <xf numFmtId="0" fontId="34" fillId="0" borderId="0" xfId="0" applyFont="1" applyBorder="1" applyAlignment="1">
      <alignment vertical="center"/>
    </xf>
    <xf numFmtId="0" fontId="26" fillId="38" borderId="42" xfId="0" applyFont="1" applyFill="1" applyBorder="1" applyAlignment="1">
      <alignment vertical="center"/>
    </xf>
    <xf numFmtId="0" fontId="26" fillId="38" borderId="32" xfId="0" applyFont="1" applyFill="1" applyBorder="1" applyAlignment="1">
      <alignment vertical="center"/>
    </xf>
    <xf numFmtId="0" fontId="26" fillId="0" borderId="26" xfId="0" applyFont="1" applyBorder="1" applyAlignment="1">
      <alignment vertical="center"/>
    </xf>
    <xf numFmtId="0" fontId="34" fillId="0" borderId="27" xfId="0" applyFont="1" applyBorder="1" applyAlignment="1">
      <alignment vertical="center"/>
    </xf>
    <xf numFmtId="0" fontId="26" fillId="0" borderId="39" xfId="0" applyFont="1" applyBorder="1" applyAlignment="1">
      <alignment vertical="center"/>
    </xf>
    <xf numFmtId="0" fontId="34" fillId="0" borderId="40" xfId="0" applyFont="1" applyBorder="1" applyAlignment="1">
      <alignment vertical="center"/>
    </xf>
    <xf numFmtId="0" fontId="26" fillId="38" borderId="43" xfId="0" applyFont="1" applyFill="1" applyBorder="1" applyAlignment="1">
      <alignment vertical="center"/>
    </xf>
    <xf numFmtId="0" fontId="26" fillId="38" borderId="31" xfId="0" applyFont="1" applyFill="1" applyBorder="1" applyAlignment="1">
      <alignment vertical="center"/>
    </xf>
    <xf numFmtId="0" fontId="35" fillId="42" borderId="40" xfId="0" applyFont="1" applyFill="1" applyBorder="1" applyAlignment="1">
      <alignment vertical="center"/>
    </xf>
    <xf numFmtId="0" fontId="13" fillId="43" borderId="10" xfId="0" applyFont="1" applyFill="1" applyBorder="1"/>
    <xf numFmtId="0" fontId="13" fillId="43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20" fillId="0" borderId="10" xfId="42" applyBorder="1" applyAlignment="1">
      <alignment horizontal="center"/>
    </xf>
    <xf numFmtId="0" fontId="0" fillId="0" borderId="10" xfId="0" applyFill="1" applyBorder="1"/>
    <xf numFmtId="0" fontId="17" fillId="25" borderId="22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1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44" xfId="13" applyBorder="1" applyAlignment="1">
      <alignment horizontal="center" vertical="center"/>
    </xf>
    <xf numFmtId="0" fontId="13" fillId="7" borderId="45" xfId="13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1" fillId="40" borderId="13" xfId="0" applyFont="1" applyFill="1" applyBorder="1" applyAlignment="1">
      <alignment horizontal="center" vertical="center"/>
    </xf>
    <xf numFmtId="0" fontId="31" fillId="40" borderId="0" xfId="0" applyFont="1" applyFill="1" applyBorder="1" applyAlignment="1">
      <alignment horizontal="center" vertical="center"/>
    </xf>
    <xf numFmtId="0" fontId="32" fillId="41" borderId="34" xfId="0" applyFont="1" applyFill="1" applyBorder="1" applyAlignment="1">
      <alignment horizontal="center" vertical="center"/>
    </xf>
    <xf numFmtId="0" fontId="32" fillId="41" borderId="35" xfId="0" applyFont="1" applyFill="1" applyBorder="1" applyAlignment="1">
      <alignment horizontal="center" vertical="center"/>
    </xf>
    <xf numFmtId="0" fontId="32" fillId="41" borderId="36" xfId="0" applyFont="1" applyFill="1" applyBorder="1" applyAlignment="1">
      <alignment horizontal="center" vertical="center"/>
    </xf>
    <xf numFmtId="0" fontId="23" fillId="35" borderId="23" xfId="44"/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03"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tellier/Documents/201401/17.%20PIP%20PIPz/PACK-PIP-007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tabSelected="1" zoomScale="85" zoomScaleNormal="85" workbookViewId="0">
      <pane ySplit="14" topLeftCell="A15" activePane="bottomLeft" state="frozen"/>
      <selection pane="bottomLeft" activeCell="E38" sqref="E38"/>
    </sheetView>
  </sheetViews>
  <sheetFormatPr defaultRowHeight="15" x14ac:dyDescent="0.25"/>
  <cols>
    <col min="1" max="1" width="7.5703125" style="9" bestFit="1" customWidth="1"/>
    <col min="2" max="2" width="13.5703125" style="24" bestFit="1" customWidth="1"/>
    <col min="3" max="3" width="72.5703125" style="9" bestFit="1" customWidth="1"/>
    <col min="4" max="4" width="7.85546875" style="9" bestFit="1" customWidth="1"/>
    <col min="5" max="5" width="7.140625" style="9" bestFit="1" customWidth="1"/>
    <col min="6" max="6" width="16.42578125" style="9" bestFit="1" customWidth="1"/>
    <col min="7" max="7" width="15" style="9" bestFit="1" customWidth="1"/>
    <col min="8" max="8" width="5.7109375" style="9" bestFit="1" customWidth="1"/>
    <col min="9" max="9" width="73.28515625" style="9" bestFit="1" customWidth="1"/>
    <col min="10" max="10" width="100.28515625" style="9" bestFit="1" customWidth="1"/>
    <col min="11" max="11" width="58.85546875" style="9" customWidth="1"/>
    <col min="12" max="16384" width="9.140625" style="9"/>
  </cols>
  <sheetData>
    <row r="1" spans="1:10" ht="3.75" customHeight="1" x14ac:dyDescent="0.25">
      <c r="A1" s="5"/>
      <c r="B1" s="23"/>
      <c r="C1" s="6"/>
      <c r="D1" s="6"/>
      <c r="E1" s="7"/>
      <c r="F1" s="8"/>
      <c r="G1" s="8"/>
      <c r="H1" s="8"/>
      <c r="I1" s="8"/>
      <c r="J1"/>
    </row>
    <row r="2" spans="1:10" ht="15" customHeight="1" x14ac:dyDescent="0.25">
      <c r="A2" s="76" t="s">
        <v>4</v>
      </c>
      <c r="B2" s="77"/>
      <c r="C2" s="12" t="s">
        <v>53</v>
      </c>
      <c r="D2" s="13"/>
      <c r="E2" s="11" t="s">
        <v>18</v>
      </c>
      <c r="F2" s="9" t="s">
        <v>54</v>
      </c>
      <c r="G2" s="11" t="s">
        <v>19</v>
      </c>
      <c r="H2" s="9" t="s">
        <v>55</v>
      </c>
      <c r="I2" s="14"/>
      <c r="J2"/>
    </row>
    <row r="3" spans="1:10" ht="3.75" customHeight="1" x14ac:dyDescent="0.25">
      <c r="A3" s="10"/>
      <c r="B3" s="25"/>
      <c r="C3" s="13"/>
      <c r="D3" s="13"/>
      <c r="E3" s="13"/>
      <c r="F3" s="13"/>
      <c r="G3" s="13"/>
      <c r="H3" s="13"/>
      <c r="I3" s="14"/>
      <c r="J3"/>
    </row>
    <row r="4" spans="1:10" ht="15" customHeight="1" x14ac:dyDescent="0.25">
      <c r="A4" s="76" t="s">
        <v>21</v>
      </c>
      <c r="B4" s="78"/>
      <c r="C4" s="30"/>
      <c r="D4" s="13"/>
      <c r="E4" s="11" t="s">
        <v>3</v>
      </c>
      <c r="F4" s="12" t="s">
        <v>49</v>
      </c>
      <c r="G4" s="11" t="s">
        <v>20</v>
      </c>
      <c r="H4" s="12" t="s">
        <v>11</v>
      </c>
      <c r="I4" s="14"/>
      <c r="J4"/>
    </row>
    <row r="5" spans="1:10" ht="3.75" customHeight="1" x14ac:dyDescent="0.25">
      <c r="A5" s="10"/>
      <c r="B5" s="25"/>
      <c r="C5" s="13"/>
      <c r="D5" s="13"/>
      <c r="E5" s="14"/>
      <c r="F5" s="13"/>
      <c r="G5" s="13"/>
      <c r="H5" s="13"/>
      <c r="I5" s="14"/>
      <c r="J5"/>
    </row>
    <row r="6" spans="1:10" ht="3.75" customHeight="1" x14ac:dyDescent="0.25">
      <c r="A6" s="10"/>
      <c r="B6" s="25"/>
      <c r="C6" s="13"/>
      <c r="D6" s="13"/>
      <c r="E6" s="13"/>
      <c r="F6" s="13"/>
      <c r="G6" s="13"/>
      <c r="H6" s="13"/>
      <c r="I6" s="14"/>
      <c r="J6"/>
    </row>
    <row r="7" spans="1:10" ht="15" customHeight="1" x14ac:dyDescent="0.25">
      <c r="A7" s="76" t="s">
        <v>44</v>
      </c>
      <c r="B7" s="77"/>
      <c r="C7" s="32"/>
      <c r="D7" s="13"/>
      <c r="E7" s="11" t="s">
        <v>22</v>
      </c>
      <c r="F7" s="15"/>
      <c r="G7" s="11" t="s">
        <v>23</v>
      </c>
      <c r="H7" s="30"/>
      <c r="I7" s="14"/>
      <c r="J7"/>
    </row>
    <row r="8" spans="1:10" ht="3.75" customHeight="1" x14ac:dyDescent="0.25">
      <c r="A8" s="10"/>
      <c r="B8" s="25"/>
      <c r="C8" s="13"/>
      <c r="D8" s="13"/>
      <c r="E8" s="11"/>
      <c r="F8" s="14"/>
      <c r="G8" s="14"/>
      <c r="H8" s="11"/>
      <c r="I8" s="14"/>
      <c r="J8"/>
    </row>
    <row r="9" spans="1:10" ht="15" customHeight="1" x14ac:dyDescent="0.25">
      <c r="A9" s="76" t="s">
        <v>24</v>
      </c>
      <c r="B9" s="77"/>
      <c r="C9" t="s">
        <v>56</v>
      </c>
      <c r="D9" s="13"/>
      <c r="E9" s="11" t="s">
        <v>52</v>
      </c>
      <c r="F9" s="15" t="s">
        <v>50</v>
      </c>
      <c r="G9" s="11" t="s">
        <v>51</v>
      </c>
      <c r="H9" s="15" t="s">
        <v>50</v>
      </c>
      <c r="I9" s="14"/>
      <c r="J9"/>
    </row>
    <row r="10" spans="1:10" ht="3.75" customHeight="1" x14ac:dyDescent="0.25">
      <c r="A10" s="10"/>
      <c r="B10" s="25"/>
      <c r="C10" s="13"/>
      <c r="D10" s="13"/>
      <c r="E10" s="14"/>
      <c r="F10" s="13"/>
      <c r="G10" s="13"/>
      <c r="H10" s="13"/>
      <c r="I10" s="13"/>
      <c r="J10"/>
    </row>
    <row r="11" spans="1:10" ht="15" customHeight="1" x14ac:dyDescent="0.25">
      <c r="A11" s="76" t="s">
        <v>45</v>
      </c>
      <c r="B11" s="77"/>
      <c r="C11" s="29"/>
      <c r="D11" s="16"/>
      <c r="E11" s="16"/>
      <c r="F11" s="16"/>
      <c r="G11" s="16"/>
      <c r="H11" s="16"/>
      <c r="I11" s="17"/>
      <c r="J11"/>
    </row>
    <row r="12" spans="1:10" ht="3.75" customHeight="1" thickBot="1" x14ac:dyDescent="0.3">
      <c r="A12" s="18"/>
      <c r="B12" s="26"/>
      <c r="C12" s="19"/>
      <c r="D12" s="19"/>
      <c r="E12" s="20"/>
      <c r="F12" s="20"/>
      <c r="G12" s="20"/>
      <c r="H12" s="20"/>
      <c r="I12" s="20"/>
      <c r="J12"/>
    </row>
    <row r="13" spans="1:10" ht="15.75" thickBot="1" x14ac:dyDescent="0.3">
      <c r="A13" s="75" t="str">
        <f>CONCATENATE("cd $SH/rmm_32",";","pk_RMM_execProc RMM.cfg RMM_upgradeEnv ",C9)</f>
        <v>cd $SH/rmm_32;pk_RMM_execProc RMM.cfg RMM_upgradeEnv PACK-XXX-XXXX</v>
      </c>
      <c r="B13" s="75"/>
      <c r="C13" s="75"/>
      <c r="D13" s="75"/>
      <c r="E13" s="75"/>
      <c r="F13" s="75"/>
      <c r="G13" s="75"/>
      <c r="H13" s="75"/>
      <c r="I13" s="75"/>
    </row>
    <row r="14" spans="1:10" ht="15" customHeight="1" thickTop="1" x14ac:dyDescent="0.25">
      <c r="A14" s="21" t="s">
        <v>3</v>
      </c>
      <c r="B14" s="33" t="s">
        <v>32</v>
      </c>
      <c r="C14" s="21" t="s">
        <v>5</v>
      </c>
      <c r="D14" s="33" t="s">
        <v>25</v>
      </c>
      <c r="E14" s="33" t="s">
        <v>26</v>
      </c>
      <c r="F14" s="79" t="s">
        <v>7</v>
      </c>
      <c r="G14" s="80"/>
      <c r="H14" s="80"/>
      <c r="I14" s="80"/>
    </row>
    <row r="15" spans="1:10" x14ac:dyDescent="0.25">
      <c r="A15" s="22" t="s">
        <v>0</v>
      </c>
      <c r="B15" s="27" t="s">
        <v>33</v>
      </c>
      <c r="C15" s="22" t="s">
        <v>27</v>
      </c>
      <c r="D15" s="31"/>
      <c r="E15" s="31"/>
      <c r="F15" s="81"/>
      <c r="G15" s="82"/>
      <c r="H15" s="82"/>
      <c r="I15" s="83"/>
    </row>
    <row r="16" spans="1:10" x14ac:dyDescent="0.25">
      <c r="A16" s="22" t="s">
        <v>49</v>
      </c>
      <c r="B16" s="27" t="s">
        <v>33</v>
      </c>
      <c r="C16" s="22" t="s">
        <v>29</v>
      </c>
      <c r="D16" s="31"/>
      <c r="E16" s="22"/>
      <c r="F16" s="81"/>
      <c r="G16" s="82"/>
      <c r="H16" s="82"/>
      <c r="I16" s="83"/>
    </row>
    <row r="17" spans="1:9" x14ac:dyDescent="0.25">
      <c r="A17" s="22" t="s">
        <v>49</v>
      </c>
      <c r="B17" s="27" t="s">
        <v>33</v>
      </c>
      <c r="C17" s="22" t="s">
        <v>28</v>
      </c>
      <c r="D17" s="31"/>
      <c r="E17" s="31"/>
      <c r="F17" s="81"/>
      <c r="G17" s="82"/>
      <c r="H17" s="82"/>
      <c r="I17" s="83"/>
    </row>
    <row r="18" spans="1:9" x14ac:dyDescent="0.25">
      <c r="A18" s="22" t="s">
        <v>49</v>
      </c>
      <c r="B18" s="22" t="s">
        <v>39</v>
      </c>
      <c r="C18" s="22" t="s">
        <v>30</v>
      </c>
      <c r="D18" s="31"/>
      <c r="E18" s="31"/>
      <c r="F18" s="81"/>
      <c r="G18" s="82"/>
      <c r="H18" s="82"/>
      <c r="I18" s="83"/>
    </row>
    <row r="19" spans="1:9" x14ac:dyDescent="0.25">
      <c r="A19" s="22" t="s">
        <v>49</v>
      </c>
      <c r="B19" s="27" t="s">
        <v>34</v>
      </c>
      <c r="C19" s="22" t="str">
        <f>CONCATENATE("Generate the transfer operations on ",F2)</f>
        <v>Generate the transfer operations on From here</v>
      </c>
      <c r="D19" s="31"/>
      <c r="E19" s="31"/>
      <c r="F19" s="81"/>
      <c r="G19" s="82"/>
      <c r="H19" s="82"/>
      <c r="I19" s="83"/>
    </row>
    <row r="20" spans="1:9" x14ac:dyDescent="0.25">
      <c r="A20" s="22" t="s">
        <v>49</v>
      </c>
      <c r="B20" s="27" t="s">
        <v>34</v>
      </c>
      <c r="C20" s="22" t="str">
        <f>CONCATENATE("Check the generated transfer operations for pack ",C11)</f>
        <v xml:space="preserve">Check the generated transfer operations for pack </v>
      </c>
      <c r="D20" s="31"/>
      <c r="E20" s="31"/>
      <c r="F20" s="81"/>
      <c r="G20" s="82"/>
      <c r="H20" s="82"/>
      <c r="I20" s="83"/>
    </row>
    <row r="21" spans="1:9" x14ac:dyDescent="0.25">
      <c r="A21" s="22" t="s">
        <v>49</v>
      </c>
      <c r="B21" s="27" t="s">
        <v>34</v>
      </c>
      <c r="C21" s="22" t="s">
        <v>41</v>
      </c>
      <c r="D21" s="31"/>
      <c r="E21" s="31"/>
      <c r="F21" s="81"/>
      <c r="G21" s="82"/>
      <c r="H21" s="82"/>
      <c r="I21" s="83"/>
    </row>
    <row r="22" spans="1:9" x14ac:dyDescent="0.25">
      <c r="A22" s="22" t="s">
        <v>49</v>
      </c>
      <c r="B22" s="27" t="s">
        <v>34</v>
      </c>
      <c r="C22" s="22" t="s">
        <v>40</v>
      </c>
      <c r="D22" s="31"/>
      <c r="E22" s="31"/>
      <c r="F22" s="81"/>
      <c r="G22" s="82"/>
      <c r="H22" s="82"/>
      <c r="I22" s="83"/>
    </row>
    <row r="23" spans="1:9" x14ac:dyDescent="0.25">
      <c r="A23" s="22" t="s">
        <v>49</v>
      </c>
      <c r="B23" s="27" t="s">
        <v>35</v>
      </c>
      <c r="C23" s="22" t="str">
        <f>CONCATENATE("Add the Synergy tasks to the manual folder of ",H2)</f>
        <v>Add the Synergy tasks to the manual folder of To here</v>
      </c>
      <c r="D23" s="31"/>
      <c r="E23" s="31"/>
      <c r="F23" s="81"/>
      <c r="G23" s="82"/>
      <c r="H23" s="82"/>
      <c r="I23" s="83"/>
    </row>
    <row r="24" spans="1:9" x14ac:dyDescent="0.25">
      <c r="A24" s="22" t="s">
        <v>49</v>
      </c>
      <c r="B24" s="27" t="s">
        <v>35</v>
      </c>
      <c r="C24" s="22" t="str">
        <f>CONCATENATE("Update the Synergy project THALER~",H2)</f>
        <v>Update the Synergy project THALER~To here</v>
      </c>
      <c r="D24" s="31"/>
      <c r="E24" s="31"/>
      <c r="F24" s="81"/>
      <c r="G24" s="82"/>
      <c r="H24" s="82"/>
      <c r="I24" s="83"/>
    </row>
    <row r="25" spans="1:9" x14ac:dyDescent="0.25">
      <c r="A25" s="22" t="s">
        <v>49</v>
      </c>
      <c r="B25" s="27" t="s">
        <v>35</v>
      </c>
      <c r="C25" s="22" t="str">
        <f>CONCATENATE("Detect the conflicts of the Synergy project THALER~",H2)</f>
        <v>Detect the conflicts of the Synergy project THALER~To here</v>
      </c>
      <c r="D25" s="31"/>
      <c r="E25" s="31"/>
      <c r="F25" s="81"/>
      <c r="G25" s="82"/>
      <c r="H25" s="82"/>
      <c r="I25" s="83"/>
    </row>
    <row r="26" spans="1:9" x14ac:dyDescent="0.25">
      <c r="A26" s="22" t="s">
        <v>49</v>
      </c>
      <c r="B26" s="27" t="s">
        <v>35</v>
      </c>
      <c r="C26" s="22" t="str">
        <f>CONCATENATE(" Synchronize the Synergy work area of the project THALER~",H2)</f>
        <v xml:space="preserve"> Synchronize the Synergy work area of the project THALER~To here</v>
      </c>
      <c r="D26" s="31"/>
      <c r="E26" s="31"/>
      <c r="F26" s="81"/>
      <c r="G26" s="82"/>
      <c r="H26" s="82"/>
      <c r="I26" s="83"/>
    </row>
    <row r="27" spans="1:9" x14ac:dyDescent="0.25">
      <c r="A27" s="22" t="s">
        <v>49</v>
      </c>
      <c r="B27" s="27" t="s">
        <v>36</v>
      </c>
      <c r="C27" s="22" t="s">
        <v>42</v>
      </c>
      <c r="D27" s="31"/>
      <c r="E27" s="31"/>
      <c r="F27" s="81"/>
      <c r="G27" s="82"/>
      <c r="H27" s="82"/>
      <c r="I27" s="83"/>
    </row>
    <row r="28" spans="1:9" x14ac:dyDescent="0.25">
      <c r="A28" s="22" t="s">
        <v>49</v>
      </c>
      <c r="B28" s="27" t="s">
        <v>37</v>
      </c>
      <c r="C28" s="22" t="s">
        <v>43</v>
      </c>
      <c r="D28" s="31"/>
      <c r="E28" s="31"/>
      <c r="F28" s="81"/>
      <c r="G28" s="82"/>
      <c r="H28" s="82"/>
      <c r="I28" s="83"/>
    </row>
    <row r="29" spans="1:9" x14ac:dyDescent="0.25">
      <c r="A29" s="22" t="s">
        <v>49</v>
      </c>
      <c r="B29" s="27" t="s">
        <v>37</v>
      </c>
      <c r="C29" s="22" t="str">
        <f>CONCATENATE("Execute the 'P' transfers of the TOS ",C11," on the master BES")</f>
        <v>Execute the 'P' transfers of the TOS  on the master BES</v>
      </c>
      <c r="D29" s="31"/>
      <c r="E29" s="31"/>
      <c r="F29" s="81"/>
      <c r="G29" s="82"/>
      <c r="H29" s="82"/>
      <c r="I29" s="83"/>
    </row>
    <row r="30" spans="1:9" x14ac:dyDescent="0.25">
      <c r="A30" s="22" t="s">
        <v>49</v>
      </c>
      <c r="B30" s="27" t="s">
        <v>37</v>
      </c>
      <c r="C30" s="22" t="str">
        <f>CONCATENATE("Detect membership conflicts of the TOS '",C9,"' using the Flattening")</f>
        <v>Detect membership conflicts of the TOS 'PACK-XXX-XXXX' using the Flattening</v>
      </c>
      <c r="D30" s="31"/>
      <c r="E30" s="31"/>
      <c r="F30" s="81"/>
      <c r="G30" s="82"/>
      <c r="H30" s="82"/>
      <c r="I30" s="83"/>
    </row>
    <row r="31" spans="1:9" x14ac:dyDescent="0.25">
      <c r="A31" s="22" t="s">
        <v>49</v>
      </c>
      <c r="B31" s="27" t="s">
        <v>35</v>
      </c>
      <c r="C31" s="22" t="str">
        <f>CONCATENATE("Deploy the Synergy tasks on project THALER~",H2)</f>
        <v>Deploy the Synergy tasks on project THALER~To here</v>
      </c>
      <c r="D31" s="31"/>
      <c r="E31" s="31"/>
      <c r="F31" s="81"/>
      <c r="G31" s="82"/>
      <c r="H31" s="82"/>
      <c r="I31" s="83"/>
    </row>
    <row r="32" spans="1:9" ht="21" customHeight="1" x14ac:dyDescent="0.25">
      <c r="A32" s="22" t="s">
        <v>49</v>
      </c>
      <c r="B32" s="27" t="s">
        <v>36</v>
      </c>
      <c r="C32" s="22" t="str">
        <f>CONCATENATE("Compare all templates before their deployment into the projects of ",H2)</f>
        <v>Compare all templates before their deployment into the projects of To here</v>
      </c>
      <c r="D32" s="31"/>
      <c r="E32" s="31"/>
      <c r="F32" s="81"/>
      <c r="G32" s="82"/>
      <c r="H32" s="82"/>
      <c r="I32" s="83"/>
    </row>
    <row r="33" spans="1:9" x14ac:dyDescent="0.25">
      <c r="A33" s="22" t="s">
        <v>49</v>
      </c>
      <c r="B33" s="27" t="s">
        <v>36</v>
      </c>
      <c r="C33" s="22" t="str">
        <f>CONCATENATE("Deploy the configuration files into the projects of ",H2)</f>
        <v>Deploy the configuration files into the projects of To here</v>
      </c>
      <c r="D33" s="31"/>
      <c r="E33" s="31"/>
      <c r="F33" s="81"/>
      <c r="G33" s="82"/>
      <c r="H33" s="82"/>
      <c r="I33" s="83"/>
    </row>
    <row r="34" spans="1:9" x14ac:dyDescent="0.25">
      <c r="A34" s="22" t="s">
        <v>49</v>
      </c>
      <c r="B34" s="27" t="s">
        <v>37</v>
      </c>
      <c r="C34" s="22" t="str">
        <f>CONCATENATE("Execute the 'P/D' orders of the TOS '",C9,"' on the master BES")</f>
        <v>Execute the 'P/D' orders of the TOS 'PACK-XXX-XXXX' on the master BES</v>
      </c>
      <c r="D34" s="31"/>
      <c r="E34" s="31"/>
      <c r="F34" s="81"/>
      <c r="G34" s="82"/>
      <c r="H34" s="82"/>
      <c r="I34" s="83"/>
    </row>
    <row r="35" spans="1:9" x14ac:dyDescent="0.25">
      <c r="A35" s="22" t="s">
        <v>49</v>
      </c>
      <c r="B35" s="27" t="s">
        <v>37</v>
      </c>
      <c r="C35" s="22" t="str">
        <f>CONCATENATE("Execute the 'H' orders of the TOS '",C9,"' on the master BES")</f>
        <v>Execute the 'H' orders of the TOS 'PACK-XXX-XXXX' on the master BES</v>
      </c>
      <c r="D35" s="31"/>
      <c r="E35" s="31"/>
      <c r="F35" s="81"/>
      <c r="G35" s="82"/>
      <c r="H35" s="82"/>
      <c r="I35" s="83"/>
    </row>
    <row r="36" spans="1:9" x14ac:dyDescent="0.25">
      <c r="A36" s="22" t="s">
        <v>49</v>
      </c>
      <c r="B36" s="27" t="s">
        <v>37</v>
      </c>
      <c r="C36" s="22" t="str">
        <f>CONCATENATE("Execute the 'U/B' orders of the TOS '",C9,"' on the master BES")</f>
        <v>Execute the 'U/B' orders of the TOS 'PACK-XXX-XXXX' on the master BES</v>
      </c>
      <c r="D36" s="31"/>
      <c r="E36" s="31"/>
      <c r="F36" s="81"/>
      <c r="G36" s="82"/>
      <c r="H36" s="82"/>
      <c r="I36" s="83"/>
    </row>
    <row r="37" spans="1:9" x14ac:dyDescent="0.25">
      <c r="A37" s="22" t="s">
        <v>49</v>
      </c>
      <c r="B37" s="27" t="s">
        <v>37</v>
      </c>
      <c r="C37" s="22" t="str">
        <f>CONCATENATE("Execute the 'T/O' orders of the TOS '",C9,"' on the master BES")</f>
        <v>Execute the 'T/O' orders of the TOS 'PACK-XXX-XXXX' on the master BES</v>
      </c>
      <c r="D37" s="31"/>
      <c r="E37" s="31"/>
      <c r="F37" s="81"/>
      <c r="G37" s="82"/>
      <c r="H37" s="82"/>
      <c r="I37" s="83"/>
    </row>
    <row r="38" spans="1:9" x14ac:dyDescent="0.25">
      <c r="A38" s="22" t="s">
        <v>49</v>
      </c>
      <c r="B38" s="27" t="s">
        <v>37</v>
      </c>
      <c r="C38" s="22" t="str">
        <f>CONCATENATE("Execute the 'A' orders of the TOS '",C9,"' on the master BES")</f>
        <v>Execute the 'A' orders of the TOS 'PACK-XXX-XXXX' on the master BES</v>
      </c>
      <c r="D38" s="31"/>
      <c r="E38" s="31"/>
      <c r="F38" s="81"/>
      <c r="G38" s="82"/>
      <c r="H38" s="82"/>
      <c r="I38" s="83"/>
    </row>
    <row r="39" spans="1:9" x14ac:dyDescent="0.25">
      <c r="A39" s="22" t="s">
        <v>49</v>
      </c>
      <c r="B39" s="27" t="s">
        <v>36</v>
      </c>
      <c r="C39" s="22" t="s">
        <v>46</v>
      </c>
      <c r="D39" s="31"/>
      <c r="E39" s="31"/>
      <c r="F39" s="81"/>
      <c r="G39" s="82"/>
      <c r="H39" s="82"/>
      <c r="I39" s="83"/>
    </row>
    <row r="40" spans="1:9" x14ac:dyDescent="0.25">
      <c r="A40" s="22" t="s">
        <v>49</v>
      </c>
      <c r="B40" s="27" t="s">
        <v>38</v>
      </c>
      <c r="C40" s="22" t="str">
        <f>CONCATENATE("Build the V2 environment of ",H2)</f>
        <v>Build the V2 environment of To here</v>
      </c>
      <c r="D40" s="31"/>
      <c r="E40" s="31"/>
      <c r="F40" s="81"/>
      <c r="G40" s="82"/>
      <c r="H40" s="82"/>
      <c r="I40" s="83"/>
    </row>
    <row r="41" spans="1:9" x14ac:dyDescent="0.25">
      <c r="A41" s="22" t="s">
        <v>49</v>
      </c>
      <c r="B41" s="27" t="s">
        <v>37</v>
      </c>
      <c r="C41" s="22" t="str">
        <f>CONCATENATE("Execute the 'C' orders of the TOS '",C9,"' on the master BES")</f>
        <v>Execute the 'C' orders of the TOS 'PACK-XXX-XXXX' on the master BES</v>
      </c>
      <c r="D41" s="31"/>
      <c r="E41" s="31"/>
      <c r="F41" s="81"/>
      <c r="G41" s="82"/>
      <c r="H41" s="82"/>
      <c r="I41" s="83"/>
    </row>
    <row r="42" spans="1:9" x14ac:dyDescent="0.25">
      <c r="A42" s="22" t="s">
        <v>49</v>
      </c>
      <c r="B42" s="27" t="s">
        <v>36</v>
      </c>
      <c r="C42" s="22" t="s">
        <v>47</v>
      </c>
      <c r="D42" s="31"/>
      <c r="E42" s="31"/>
      <c r="F42" s="81"/>
      <c r="G42" s="82"/>
      <c r="H42" s="82"/>
      <c r="I42" s="83"/>
    </row>
    <row r="43" spans="1:9" x14ac:dyDescent="0.25">
      <c r="A43" s="22" t="s">
        <v>49</v>
      </c>
      <c r="B43" s="27" t="s">
        <v>39</v>
      </c>
      <c r="C43" s="22" t="s">
        <v>31</v>
      </c>
      <c r="D43" s="31"/>
      <c r="E43" s="31"/>
      <c r="F43" s="81"/>
      <c r="G43" s="82"/>
      <c r="H43" s="82"/>
      <c r="I43" s="83"/>
    </row>
    <row r="44" spans="1:9" x14ac:dyDescent="0.25">
      <c r="A44" s="22" t="s">
        <v>49</v>
      </c>
      <c r="B44" s="27" t="s">
        <v>39</v>
      </c>
      <c r="C44" s="22" t="s">
        <v>30</v>
      </c>
      <c r="D44" s="31"/>
      <c r="E44" s="31"/>
      <c r="F44" s="81"/>
      <c r="G44" s="82"/>
      <c r="H44" s="82"/>
      <c r="I44" s="83"/>
    </row>
    <row r="45" spans="1:9" x14ac:dyDescent="0.25">
      <c r="G45" s="28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02" priority="573">
      <formula>$D15="[ Bypassed ]"</formula>
    </cfRule>
    <cfRule type="expression" dxfId="301" priority="574">
      <formula>$D15="[ Done         ]"</formula>
    </cfRule>
    <cfRule type="expression" dxfId="300" priority="575">
      <formula>$D15="[ Pending… ]"</formula>
    </cfRule>
    <cfRule type="expression" dxfId="299" priority="576">
      <formula>$D15="[ To do        ]"</formula>
    </cfRule>
  </conditionalFormatting>
  <conditionalFormatting sqref="E19">
    <cfRule type="expression" dxfId="298" priority="501">
      <formula>$D19="[ Bypassed ]"</formula>
    </cfRule>
    <cfRule type="expression" dxfId="297" priority="502">
      <formula>$D19="[ Done         ]"</formula>
    </cfRule>
    <cfRule type="expression" dxfId="296" priority="503">
      <formula>$D19="[ Pending… ]"</formula>
    </cfRule>
    <cfRule type="expression" dxfId="295" priority="504">
      <formula>$D19="[ To do        ]"</formula>
    </cfRule>
  </conditionalFormatting>
  <conditionalFormatting sqref="E20">
    <cfRule type="expression" dxfId="294" priority="497">
      <formula>$D20="[ Bypassed ]"</formula>
    </cfRule>
    <cfRule type="expression" dxfId="293" priority="498">
      <formula>$D20="[ Done         ]"</formula>
    </cfRule>
    <cfRule type="expression" dxfId="292" priority="499">
      <formula>$D20="[ Pending… ]"</formula>
    </cfRule>
    <cfRule type="expression" dxfId="291" priority="500">
      <formula>$D20="[ To do        ]"</formula>
    </cfRule>
  </conditionalFormatting>
  <conditionalFormatting sqref="E39">
    <cfRule type="expression" dxfId="290" priority="473">
      <formula>$D39="[ Bypassed ]"</formula>
    </cfRule>
    <cfRule type="expression" dxfId="289" priority="474">
      <formula>$D39="[ Done         ]"</formula>
    </cfRule>
    <cfRule type="expression" dxfId="288" priority="475">
      <formula>$D39="[ Pending… ]"</formula>
    </cfRule>
    <cfRule type="expression" dxfId="287" priority="476">
      <formula>$D39="[ To do        ]"</formula>
    </cfRule>
  </conditionalFormatting>
  <conditionalFormatting sqref="E40">
    <cfRule type="expression" dxfId="286" priority="449">
      <formula>$D40="[ Bypassed ]"</formula>
    </cfRule>
    <cfRule type="expression" dxfId="285" priority="450">
      <formula>$D40="[ Done         ]"</formula>
    </cfRule>
    <cfRule type="expression" dxfId="284" priority="451">
      <formula>$D40="[ Pending… ]"</formula>
    </cfRule>
    <cfRule type="expression" dxfId="283" priority="452">
      <formula>$D40="[ To do        ]"</formula>
    </cfRule>
  </conditionalFormatting>
  <conditionalFormatting sqref="D15:D17 D20:D21 D23:E26 D23:D29 D34:E35 D34:D44">
    <cfRule type="expression" dxfId="282" priority="333">
      <formula>$D15="[ Bypassed ]"</formula>
    </cfRule>
    <cfRule type="expression" dxfId="281" priority="334">
      <formula>$D15="[ Done         ]"</formula>
    </cfRule>
    <cfRule type="expression" dxfId="280" priority="335">
      <formula>$D15="[ Pending… ]"</formula>
    </cfRule>
    <cfRule type="expression" dxfId="279" priority="336">
      <formula>$D15="[ To do        ]"</formula>
    </cfRule>
  </conditionalFormatting>
  <conditionalFormatting sqref="D40">
    <cfRule type="expression" dxfId="278" priority="321">
      <formula>$D40="[ Bypassed ]"</formula>
    </cfRule>
    <cfRule type="expression" dxfId="277" priority="322">
      <formula>$D40="[ Done         ]"</formula>
    </cfRule>
    <cfRule type="expression" dxfId="276" priority="323">
      <formula>$D40="[ Pending… ]"</formula>
    </cfRule>
    <cfRule type="expression" dxfId="275" priority="324">
      <formula>$D40="[ To do        ]"</formula>
    </cfRule>
  </conditionalFormatting>
  <conditionalFormatting sqref="D19">
    <cfRule type="expression" dxfId="274" priority="197">
      <formula>$D19="[ Bypassed ]"</formula>
    </cfRule>
    <cfRule type="expression" dxfId="273" priority="198">
      <formula>$D19="[ Done         ]"</formula>
    </cfRule>
    <cfRule type="expression" dxfId="272" priority="199">
      <formula>$D19="[ Pending… ]"</formula>
    </cfRule>
    <cfRule type="expression" dxfId="271" priority="200">
      <formula>$D19="[ To do        ]"</formula>
    </cfRule>
  </conditionalFormatting>
  <conditionalFormatting sqref="E19">
    <cfRule type="expression" dxfId="270" priority="193">
      <formula>$D19="[ Bypassed ]"</formula>
    </cfRule>
    <cfRule type="expression" dxfId="269" priority="194">
      <formula>$D19="[ Done         ]"</formula>
    </cfRule>
    <cfRule type="expression" dxfId="268" priority="195">
      <formula>$D19="[ Pending… ]"</formula>
    </cfRule>
    <cfRule type="expression" dxfId="267" priority="196">
      <formula>$D19="[ To do        ]"</formula>
    </cfRule>
  </conditionalFormatting>
  <conditionalFormatting sqref="D18:E18">
    <cfRule type="expression" dxfId="266" priority="181">
      <formula>$D18="[ Bypassed ]"</formula>
    </cfRule>
    <cfRule type="expression" dxfId="265" priority="182">
      <formula>$D18="[ Done         ]"</formula>
    </cfRule>
    <cfRule type="expression" dxfId="264" priority="183">
      <formula>$D18="[ Pending… ]"</formula>
    </cfRule>
    <cfRule type="expression" dxfId="263" priority="184">
      <formula>$D18="[ To do        ]"</formula>
    </cfRule>
  </conditionalFormatting>
  <conditionalFormatting sqref="E21">
    <cfRule type="expression" dxfId="262" priority="169">
      <formula>$D21="[ Bypassed ]"</formula>
    </cfRule>
    <cfRule type="expression" dxfId="261" priority="170">
      <formula>$D21="[ Done         ]"</formula>
    </cfRule>
    <cfRule type="expression" dxfId="260" priority="171">
      <formula>$D21="[ Pending… ]"</formula>
    </cfRule>
    <cfRule type="expression" dxfId="259" priority="172">
      <formula>$D21="[ To do        ]"</formula>
    </cfRule>
  </conditionalFormatting>
  <conditionalFormatting sqref="D22">
    <cfRule type="expression" dxfId="258" priority="157">
      <formula>$D22="[ Bypassed ]"</formula>
    </cfRule>
    <cfRule type="expression" dxfId="257" priority="158">
      <formula>$D22="[ Done         ]"</formula>
    </cfRule>
    <cfRule type="expression" dxfId="256" priority="159">
      <formula>$D22="[ Pending… ]"</formula>
    </cfRule>
    <cfRule type="expression" dxfId="255" priority="160">
      <formula>$D22="[ To do        ]"</formula>
    </cfRule>
  </conditionalFormatting>
  <conditionalFormatting sqref="E22">
    <cfRule type="expression" dxfId="254" priority="145">
      <formula>$D22="[ Bypassed ]"</formula>
    </cfRule>
    <cfRule type="expression" dxfId="253" priority="146">
      <formula>$D22="[ Done         ]"</formula>
    </cfRule>
    <cfRule type="expression" dxfId="252" priority="147">
      <formula>$D22="[ Pending… ]"</formula>
    </cfRule>
    <cfRule type="expression" dxfId="251" priority="148">
      <formula>$D22="[ To do        ]"</formula>
    </cfRule>
  </conditionalFormatting>
  <conditionalFormatting sqref="E27:E28">
    <cfRule type="expression" dxfId="250" priority="133">
      <formula>$D27="[ Bypassed ]"</formula>
    </cfRule>
    <cfRule type="expression" dxfId="249" priority="134">
      <formula>$D27="[ Done         ]"</formula>
    </cfRule>
    <cfRule type="expression" dxfId="248" priority="135">
      <formula>$D27="[ Pending… ]"</formula>
    </cfRule>
    <cfRule type="expression" dxfId="247" priority="136">
      <formula>$D27="[ To do        ]"</formula>
    </cfRule>
  </conditionalFormatting>
  <conditionalFormatting sqref="D31">
    <cfRule type="expression" dxfId="246" priority="121">
      <formula>$D31="[ Bypassed ]"</formula>
    </cfRule>
    <cfRule type="expression" dxfId="245" priority="122">
      <formula>$D31="[ Done         ]"</formula>
    </cfRule>
    <cfRule type="expression" dxfId="244" priority="123">
      <formula>$D31="[ Pending… ]"</formula>
    </cfRule>
    <cfRule type="expression" dxfId="243" priority="124">
      <formula>$D31="[ To do        ]"</formula>
    </cfRule>
  </conditionalFormatting>
  <conditionalFormatting sqref="E31">
    <cfRule type="expression" dxfId="242" priority="109">
      <formula>$D31="[ Bypassed ]"</formula>
    </cfRule>
    <cfRule type="expression" dxfId="241" priority="110">
      <formula>$D31="[ Done         ]"</formula>
    </cfRule>
    <cfRule type="expression" dxfId="240" priority="111">
      <formula>$D31="[ Pending… ]"</formula>
    </cfRule>
    <cfRule type="expression" dxfId="239" priority="112">
      <formula>$D31="[ To do        ]"</formula>
    </cfRule>
  </conditionalFormatting>
  <conditionalFormatting sqref="D32">
    <cfRule type="expression" dxfId="238" priority="97">
      <formula>$D32="[ Bypassed ]"</formula>
    </cfRule>
    <cfRule type="expression" dxfId="237" priority="98">
      <formula>$D32="[ Done         ]"</formula>
    </cfRule>
    <cfRule type="expression" dxfId="236" priority="99">
      <formula>$D32="[ Pending… ]"</formula>
    </cfRule>
    <cfRule type="expression" dxfId="235" priority="100">
      <formula>$D32="[ To do        ]"</formula>
    </cfRule>
  </conditionalFormatting>
  <conditionalFormatting sqref="E32">
    <cfRule type="expression" dxfId="234" priority="85">
      <formula>$D32="[ Bypassed ]"</formula>
    </cfRule>
    <cfRule type="expression" dxfId="233" priority="86">
      <formula>$D32="[ Done         ]"</formula>
    </cfRule>
    <cfRule type="expression" dxfId="232" priority="87">
      <formula>$D32="[ Pending… ]"</formula>
    </cfRule>
    <cfRule type="expression" dxfId="231" priority="88">
      <formula>$D32="[ To do        ]"</formula>
    </cfRule>
  </conditionalFormatting>
  <conditionalFormatting sqref="D33">
    <cfRule type="expression" dxfId="230" priority="73">
      <formula>$D33="[ Bypassed ]"</formula>
    </cfRule>
    <cfRule type="expression" dxfId="229" priority="74">
      <formula>$D33="[ Done         ]"</formula>
    </cfRule>
    <cfRule type="expression" dxfId="228" priority="75">
      <formula>$D33="[ Pending… ]"</formula>
    </cfRule>
    <cfRule type="expression" dxfId="227" priority="76">
      <formula>$D33="[ To do        ]"</formula>
    </cfRule>
  </conditionalFormatting>
  <conditionalFormatting sqref="E33">
    <cfRule type="expression" dxfId="226" priority="61">
      <formula>$D33="[ Bypassed ]"</formula>
    </cfRule>
    <cfRule type="expression" dxfId="225" priority="62">
      <formula>$D33="[ Done         ]"</formula>
    </cfRule>
    <cfRule type="expression" dxfId="224" priority="63">
      <formula>$D33="[ Pending… ]"</formula>
    </cfRule>
    <cfRule type="expression" dxfId="223" priority="64">
      <formula>$D33="[ To do        ]"</formula>
    </cfRule>
  </conditionalFormatting>
  <conditionalFormatting sqref="D41:E42">
    <cfRule type="expression" dxfId="222" priority="45">
      <formula>$D41="[ Bypassed ]"</formula>
    </cfRule>
    <cfRule type="expression" dxfId="221" priority="46">
      <formula>$D41="[ Done         ]"</formula>
    </cfRule>
    <cfRule type="expression" dxfId="220" priority="47">
      <formula>$D41="[ Pending… ]"</formula>
    </cfRule>
    <cfRule type="expression" dxfId="219" priority="48">
      <formula>$D41="[ To do        ]"</formula>
    </cfRule>
  </conditionalFormatting>
  <conditionalFormatting sqref="D43:D44">
    <cfRule type="expression" dxfId="218" priority="37">
      <formula>$D43="[ Bypassed ]"</formula>
    </cfRule>
    <cfRule type="expression" dxfId="217" priority="38">
      <formula>$D43="[ Done         ]"</formula>
    </cfRule>
    <cfRule type="expression" dxfId="216" priority="39">
      <formula>$D43="[ Pending… ]"</formula>
    </cfRule>
    <cfRule type="expression" dxfId="215" priority="40">
      <formula>$D43="[ To do        ]"</formula>
    </cfRule>
  </conditionalFormatting>
  <conditionalFormatting sqref="E43">
    <cfRule type="expression" dxfId="214" priority="29">
      <formula>$D43="[ Bypassed ]"</formula>
    </cfRule>
    <cfRule type="expression" dxfId="213" priority="30">
      <formula>$D43="[ Done         ]"</formula>
    </cfRule>
    <cfRule type="expression" dxfId="212" priority="31">
      <formula>$D43="[ Pending… ]"</formula>
    </cfRule>
    <cfRule type="expression" dxfId="211" priority="32">
      <formula>$D43="[ To do        ]"</formula>
    </cfRule>
  </conditionalFormatting>
  <conditionalFormatting sqref="E44">
    <cfRule type="expression" dxfId="210" priority="21">
      <formula>$D44="[ Bypassed ]"</formula>
    </cfRule>
    <cfRule type="expression" dxfId="209" priority="22">
      <formula>$D44="[ Done         ]"</formula>
    </cfRule>
    <cfRule type="expression" dxfId="208" priority="23">
      <formula>$D44="[ Pending… ]"</formula>
    </cfRule>
    <cfRule type="expression" dxfId="207" priority="24">
      <formula>$D44="[ To do        ]"</formula>
    </cfRule>
  </conditionalFormatting>
  <dataValidations count="2">
    <dataValidation type="date" allowBlank="1" showInputMessage="1" showErrorMessage="1" sqref="H7 F7 C10 C3:C6">
      <formula1>40817</formula1>
      <formula2>77341</formula2>
    </dataValidation>
    <dataValidation type="list" allowBlank="1" showInputMessage="1" showErrorMessage="1" sqref="A15:A1048576">
      <formula1>$A$2:$A$5</formula1>
    </dataValidation>
  </dataValidations>
  <hyperlinks>
    <hyperlink ref="C17" location="'pk_check_package before'!A1" display="Check packaging on source environment"/>
    <hyperlink ref="C15" location="'List of patches'!A1" display="Making list of patches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$F$4=myStatus!$A$3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$F$4=myStatus!$A$2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$F$4=myStatus!$A$4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E34:E40 E29:E30 D41:E42 C43:E44 F16:F44 D20:D21 D23:E26 D23:D29 D34:E35 D34:D44 A36:A44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$A19=myStatus!$A$2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$A27=myStatus!$A$5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$A27=myStatus!$A$4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$A27=myStatus!$A$3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$A15=myStatus!$A$2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myStatus!$B$2:$B$4</xm:f>
          </x14:formula1>
          <xm:sqref>H4</xm:sqref>
        </x14:dataValidation>
        <x14:dataValidation type="list" allowBlank="1" showInputMessage="1" showErrorMessage="1">
          <x14:formula1>
            <xm:f>myStatus!$A$2:$A$4</xm:f>
          </x14:formula1>
          <xm:sqref>F4</xm:sqref>
        </x14:dataValidation>
        <x14:dataValidation type="list" allowBlank="1" showInputMessage="1" showErrorMessage="1">
          <x14:formula1>
            <xm:f>myStatus!$A$2:$A$5</xm:f>
          </x14:formula1>
          <xm:sqref>B45:B1048576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30"/>
  <sheetViews>
    <sheetView topLeftCell="A4" workbookViewId="0">
      <selection activeCell="F36" sqref="D36:F40"/>
    </sheetView>
  </sheetViews>
  <sheetFormatPr defaultRowHeight="15" x14ac:dyDescent="0.25"/>
  <cols>
    <col min="2" max="2" width="33.140625" bestFit="1" customWidth="1"/>
    <col min="3" max="3" width="11" bestFit="1" customWidth="1"/>
    <col min="4" max="4" width="15.28515625" bestFit="1" customWidth="1"/>
    <col min="6" max="6" width="42.5703125" bestFit="1" customWidth="1"/>
    <col min="7" max="7" width="9" bestFit="1" customWidth="1"/>
    <col min="8" max="8" width="15.28515625" bestFit="1" customWidth="1"/>
    <col min="11" max="11" width="31.140625" bestFit="1" customWidth="1"/>
    <col min="12" max="12" width="6.85546875" customWidth="1"/>
    <col min="13" max="13" width="18.85546875" customWidth="1"/>
  </cols>
  <sheetData>
    <row r="2" spans="2:13" x14ac:dyDescent="0.25">
      <c r="B2" s="47" t="s">
        <v>107</v>
      </c>
      <c r="C2" s="32"/>
      <c r="D2" s="32"/>
      <c r="E2" s="32"/>
      <c r="F2" s="47" t="s">
        <v>108</v>
      </c>
      <c r="G2" s="32"/>
      <c r="H2" s="32"/>
      <c r="I2" s="32"/>
      <c r="J2" s="32"/>
      <c r="K2" s="47" t="s">
        <v>109</v>
      </c>
      <c r="L2" s="32"/>
      <c r="M2" s="32"/>
    </row>
    <row r="3" spans="2:13" ht="15.75" thickBot="1" x14ac:dyDescent="0.3"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</row>
    <row r="4" spans="2:13" ht="19.5" thickBot="1" x14ac:dyDescent="0.3">
      <c r="B4" s="84" t="s">
        <v>110</v>
      </c>
      <c r="C4" s="85"/>
      <c r="D4" s="85"/>
      <c r="E4" s="32"/>
      <c r="F4" s="48" t="s">
        <v>110</v>
      </c>
      <c r="G4" s="49" t="s">
        <v>111</v>
      </c>
      <c r="H4" s="49" t="s">
        <v>56</v>
      </c>
      <c r="I4" s="32"/>
      <c r="J4" s="32"/>
      <c r="K4" s="86" t="s">
        <v>110</v>
      </c>
      <c r="L4" s="87"/>
      <c r="M4" s="88"/>
    </row>
    <row r="5" spans="2:13" ht="15.75" thickBot="1" x14ac:dyDescent="0.3">
      <c r="B5" s="50" t="s">
        <v>9</v>
      </c>
      <c r="C5" s="51" t="s">
        <v>112</v>
      </c>
      <c r="D5" s="52" t="s">
        <v>56</v>
      </c>
      <c r="E5" s="32"/>
      <c r="F5" s="53" t="s">
        <v>82</v>
      </c>
      <c r="G5" s="54" t="s">
        <v>83</v>
      </c>
      <c r="H5" s="43" t="s">
        <v>95</v>
      </c>
      <c r="I5" s="32"/>
      <c r="J5" s="32"/>
      <c r="K5" s="55" t="s">
        <v>9</v>
      </c>
      <c r="L5" s="56" t="s">
        <v>94</v>
      </c>
      <c r="M5" s="69" t="s">
        <v>56</v>
      </c>
    </row>
    <row r="6" spans="2:13" ht="15.75" thickBot="1" x14ac:dyDescent="0.3">
      <c r="B6" s="57" t="s">
        <v>113</v>
      </c>
      <c r="C6" s="58" t="s">
        <v>114</v>
      </c>
      <c r="D6" s="43" t="s">
        <v>95</v>
      </c>
      <c r="E6" s="32"/>
      <c r="F6" s="53" t="s">
        <v>115</v>
      </c>
      <c r="G6" s="54" t="s">
        <v>85</v>
      </c>
      <c r="H6" s="43" t="s">
        <v>95</v>
      </c>
      <c r="I6" s="32"/>
      <c r="J6" s="32"/>
      <c r="K6" s="59" t="s">
        <v>82</v>
      </c>
      <c r="L6" s="60" t="s">
        <v>85</v>
      </c>
      <c r="M6" s="43" t="s">
        <v>95</v>
      </c>
    </row>
    <row r="7" spans="2:13" ht="15.75" thickBot="1" x14ac:dyDescent="0.3">
      <c r="B7" s="61" t="s">
        <v>116</v>
      </c>
      <c r="C7" s="62" t="s">
        <v>114</v>
      </c>
      <c r="D7" s="43" t="s">
        <v>95</v>
      </c>
      <c r="E7" s="32"/>
      <c r="F7" s="53" t="s">
        <v>99</v>
      </c>
      <c r="G7" s="54" t="s">
        <v>85</v>
      </c>
      <c r="H7" s="43" t="s">
        <v>95</v>
      </c>
      <c r="I7" s="32"/>
      <c r="J7" s="32"/>
      <c r="K7" s="63" t="s">
        <v>117</v>
      </c>
      <c r="L7" s="64" t="s">
        <v>97</v>
      </c>
      <c r="M7" s="43" t="s">
        <v>95</v>
      </c>
    </row>
    <row r="8" spans="2:13" ht="15.75" thickBot="1" x14ac:dyDescent="0.3">
      <c r="B8" s="61" t="s">
        <v>118</v>
      </c>
      <c r="C8" s="62" t="s">
        <v>114</v>
      </c>
      <c r="D8" s="43" t="s">
        <v>95</v>
      </c>
      <c r="E8" s="32"/>
      <c r="F8" s="53" t="s">
        <v>119</v>
      </c>
      <c r="G8" s="54" t="s">
        <v>85</v>
      </c>
      <c r="H8" s="43" t="s">
        <v>95</v>
      </c>
      <c r="I8" s="32"/>
      <c r="J8" s="32"/>
      <c r="K8" s="65" t="s">
        <v>120</v>
      </c>
      <c r="L8" s="66" t="s">
        <v>97</v>
      </c>
      <c r="M8" s="43" t="s">
        <v>95</v>
      </c>
    </row>
    <row r="9" spans="2:13" ht="15.75" thickBot="1" x14ac:dyDescent="0.3">
      <c r="B9" s="61" t="s">
        <v>121</v>
      </c>
      <c r="C9" s="62" t="s">
        <v>114</v>
      </c>
      <c r="D9" s="43" t="s">
        <v>95</v>
      </c>
      <c r="E9" s="32"/>
      <c r="F9" s="53" t="s">
        <v>100</v>
      </c>
      <c r="G9" s="54" t="s">
        <v>85</v>
      </c>
      <c r="H9" s="43" t="s">
        <v>95</v>
      </c>
      <c r="I9" s="32"/>
      <c r="J9" s="32"/>
      <c r="K9" s="65" t="s">
        <v>88</v>
      </c>
      <c r="L9" s="66" t="s">
        <v>97</v>
      </c>
      <c r="M9" s="43" t="s">
        <v>95</v>
      </c>
    </row>
    <row r="10" spans="2:13" ht="15.75" thickBot="1" x14ac:dyDescent="0.3">
      <c r="B10" s="57" t="s">
        <v>122</v>
      </c>
      <c r="C10" s="41" t="s">
        <v>114</v>
      </c>
      <c r="D10" s="43" t="s">
        <v>95</v>
      </c>
      <c r="E10" s="32"/>
      <c r="F10" s="53" t="s">
        <v>123</v>
      </c>
      <c r="G10" s="54" t="s">
        <v>85</v>
      </c>
      <c r="H10" s="43" t="s">
        <v>95</v>
      </c>
      <c r="I10" s="32"/>
      <c r="J10" s="32"/>
      <c r="K10" s="65" t="s">
        <v>124</v>
      </c>
      <c r="L10" s="66" t="s">
        <v>97</v>
      </c>
      <c r="M10" s="43" t="s">
        <v>95</v>
      </c>
    </row>
    <row r="11" spans="2:13" ht="15.75" thickBot="1" x14ac:dyDescent="0.3">
      <c r="B11" s="57" t="s">
        <v>125</v>
      </c>
      <c r="C11" s="58" t="s">
        <v>114</v>
      </c>
      <c r="D11" s="43" t="s">
        <v>95</v>
      </c>
      <c r="E11" s="32"/>
      <c r="F11" s="53" t="s">
        <v>86</v>
      </c>
      <c r="G11" s="54" t="s">
        <v>85</v>
      </c>
      <c r="H11" s="43" t="s">
        <v>95</v>
      </c>
      <c r="I11" s="32"/>
      <c r="J11" s="32"/>
      <c r="K11" s="65" t="s">
        <v>93</v>
      </c>
      <c r="L11" s="66" t="s">
        <v>85</v>
      </c>
      <c r="M11" s="43" t="s">
        <v>95</v>
      </c>
    </row>
    <row r="12" spans="2:13" ht="15.75" thickBot="1" x14ac:dyDescent="0.3">
      <c r="B12" s="67" t="s">
        <v>126</v>
      </c>
      <c r="C12" s="62" t="s">
        <v>114</v>
      </c>
      <c r="D12" s="43" t="s">
        <v>95</v>
      </c>
      <c r="E12" s="32"/>
      <c r="F12" s="53" t="s">
        <v>87</v>
      </c>
      <c r="G12" s="54" t="s">
        <v>85</v>
      </c>
      <c r="H12" s="43" t="s">
        <v>95</v>
      </c>
      <c r="I12" s="32"/>
      <c r="J12" s="32"/>
      <c r="K12" s="32"/>
      <c r="L12" s="32"/>
      <c r="M12" s="32"/>
    </row>
    <row r="13" spans="2:13" ht="15.75" thickBot="1" x14ac:dyDescent="0.3">
      <c r="B13" s="67" t="s">
        <v>127</v>
      </c>
      <c r="C13" s="58" t="s">
        <v>114</v>
      </c>
      <c r="D13" s="43" t="s">
        <v>95</v>
      </c>
      <c r="E13" s="32"/>
      <c r="F13" s="53" t="s">
        <v>98</v>
      </c>
      <c r="G13" s="54" t="s">
        <v>85</v>
      </c>
      <c r="H13" s="43" t="s">
        <v>95</v>
      </c>
      <c r="I13" s="32"/>
      <c r="J13" s="32"/>
      <c r="K13" s="32"/>
      <c r="L13" s="32"/>
      <c r="M13" s="32"/>
    </row>
    <row r="14" spans="2:13" ht="15.75" thickBot="1" x14ac:dyDescent="0.3">
      <c r="B14" s="67" t="s">
        <v>128</v>
      </c>
      <c r="C14" s="62" t="s">
        <v>8</v>
      </c>
      <c r="D14" s="43" t="s">
        <v>95</v>
      </c>
      <c r="E14" s="32"/>
      <c r="F14" s="53" t="s">
        <v>129</v>
      </c>
      <c r="G14" s="54" t="s">
        <v>85</v>
      </c>
      <c r="H14" s="43" t="s">
        <v>95</v>
      </c>
      <c r="I14" s="32"/>
      <c r="J14" s="32"/>
      <c r="K14" s="32"/>
      <c r="L14" s="32"/>
      <c r="M14" s="32"/>
    </row>
    <row r="15" spans="2:13" ht="15.75" thickBot="1" x14ac:dyDescent="0.3">
      <c r="B15" s="67" t="s">
        <v>130</v>
      </c>
      <c r="C15" s="41" t="s">
        <v>8</v>
      </c>
      <c r="D15" s="43" t="s">
        <v>95</v>
      </c>
      <c r="E15" s="32"/>
      <c r="F15" s="53" t="s">
        <v>101</v>
      </c>
      <c r="G15" s="54" t="s">
        <v>131</v>
      </c>
      <c r="H15" s="43" t="s">
        <v>95</v>
      </c>
      <c r="I15" s="32"/>
      <c r="J15" s="32"/>
      <c r="K15" s="32"/>
      <c r="L15" s="32"/>
      <c r="M15" s="32"/>
    </row>
    <row r="16" spans="2:13" ht="15.75" thickBot="1" x14ac:dyDescent="0.3">
      <c r="B16" s="61" t="s">
        <v>96</v>
      </c>
      <c r="C16" s="53" t="s">
        <v>114</v>
      </c>
      <c r="D16" s="43" t="s">
        <v>95</v>
      </c>
      <c r="E16" s="32"/>
      <c r="F16" s="53" t="s">
        <v>102</v>
      </c>
      <c r="G16" s="54" t="s">
        <v>131</v>
      </c>
      <c r="H16" s="43" t="s">
        <v>95</v>
      </c>
      <c r="I16" s="32"/>
      <c r="J16" s="32"/>
      <c r="K16" s="32"/>
      <c r="L16" s="32"/>
      <c r="M16" s="32"/>
    </row>
    <row r="17" spans="2:13" ht="15.75" thickBot="1" x14ac:dyDescent="0.3">
      <c r="B17" s="61" t="s">
        <v>132</v>
      </c>
      <c r="C17" s="62" t="s">
        <v>114</v>
      </c>
      <c r="D17" s="43" t="s">
        <v>95</v>
      </c>
      <c r="E17" s="32"/>
      <c r="F17" s="53" t="s">
        <v>103</v>
      </c>
      <c r="G17" s="54" t="s">
        <v>131</v>
      </c>
      <c r="H17" s="43" t="s">
        <v>95</v>
      </c>
      <c r="I17" s="32"/>
      <c r="J17" s="32"/>
      <c r="K17" s="32"/>
      <c r="L17" s="32"/>
      <c r="M17" s="32"/>
    </row>
    <row r="18" spans="2:13" ht="15.75" thickBot="1" x14ac:dyDescent="0.3">
      <c r="B18" s="61" t="s">
        <v>133</v>
      </c>
      <c r="C18" s="62" t="s">
        <v>114</v>
      </c>
      <c r="D18" s="43" t="s">
        <v>95</v>
      </c>
      <c r="E18" s="32"/>
      <c r="F18" s="53" t="s">
        <v>104</v>
      </c>
      <c r="G18" s="54" t="s">
        <v>131</v>
      </c>
      <c r="H18" s="43" t="s">
        <v>95</v>
      </c>
      <c r="I18" s="32"/>
      <c r="J18" s="32"/>
      <c r="K18" s="32"/>
      <c r="L18" s="32"/>
      <c r="M18" s="32"/>
    </row>
    <row r="19" spans="2:13" ht="15.75" thickBot="1" x14ac:dyDescent="0.3">
      <c r="B19" s="61" t="s">
        <v>134</v>
      </c>
      <c r="C19" s="62" t="s">
        <v>114</v>
      </c>
      <c r="D19" s="43" t="s">
        <v>95</v>
      </c>
      <c r="E19" s="32"/>
      <c r="F19" s="53" t="s">
        <v>89</v>
      </c>
      <c r="G19" s="54" t="s">
        <v>131</v>
      </c>
      <c r="H19" s="43" t="s">
        <v>95</v>
      </c>
      <c r="I19" s="32"/>
      <c r="J19" s="32"/>
      <c r="K19" s="32"/>
      <c r="L19" s="32"/>
      <c r="M19" s="32"/>
    </row>
    <row r="20" spans="2:13" ht="15.75" thickBot="1" x14ac:dyDescent="0.3">
      <c r="B20" s="61" t="s">
        <v>135</v>
      </c>
      <c r="C20" s="62" t="s">
        <v>114</v>
      </c>
      <c r="D20" s="43" t="s">
        <v>95</v>
      </c>
      <c r="E20" s="32"/>
      <c r="F20" s="53" t="s">
        <v>90</v>
      </c>
      <c r="G20" s="54" t="s">
        <v>131</v>
      </c>
      <c r="H20" s="43" t="s">
        <v>95</v>
      </c>
      <c r="I20" s="32"/>
      <c r="J20" s="32"/>
      <c r="K20" s="32"/>
      <c r="L20" s="32"/>
      <c r="M20" s="32"/>
    </row>
    <row r="21" spans="2:13" ht="15.75" thickBot="1" x14ac:dyDescent="0.3">
      <c r="B21" s="57" t="s">
        <v>136</v>
      </c>
      <c r="C21" s="41" t="s">
        <v>114</v>
      </c>
      <c r="D21" s="43" t="s">
        <v>95</v>
      </c>
      <c r="E21" s="32"/>
      <c r="F21" s="53" t="s">
        <v>91</v>
      </c>
      <c r="G21" s="54" t="s">
        <v>131</v>
      </c>
      <c r="H21" s="43" t="s">
        <v>95</v>
      </c>
      <c r="I21" s="32"/>
      <c r="J21" s="32"/>
      <c r="K21" s="32"/>
      <c r="L21" s="32"/>
      <c r="M21" s="32"/>
    </row>
    <row r="22" spans="2:13" ht="15.75" thickBot="1" x14ac:dyDescent="0.3">
      <c r="B22" s="57" t="s">
        <v>137</v>
      </c>
      <c r="C22" s="41" t="s">
        <v>138</v>
      </c>
      <c r="D22" s="43" t="s">
        <v>95</v>
      </c>
      <c r="E22" s="32"/>
      <c r="F22" s="53" t="s">
        <v>92</v>
      </c>
      <c r="G22" s="54" t="s">
        <v>131</v>
      </c>
      <c r="H22" s="43" t="s">
        <v>95</v>
      </c>
      <c r="I22" s="32"/>
      <c r="J22" s="32"/>
      <c r="K22" s="32"/>
      <c r="L22" s="32"/>
      <c r="M22" s="32"/>
    </row>
    <row r="23" spans="2:13" ht="15.75" thickBot="1" x14ac:dyDescent="0.3">
      <c r="B23" s="57" t="s">
        <v>92</v>
      </c>
      <c r="C23" s="68" t="s">
        <v>138</v>
      </c>
      <c r="D23" s="43" t="s">
        <v>95</v>
      </c>
      <c r="E23" s="32"/>
      <c r="F23" s="53" t="s">
        <v>139</v>
      </c>
      <c r="G23" s="54" t="s">
        <v>85</v>
      </c>
      <c r="H23" s="43" t="s">
        <v>95</v>
      </c>
      <c r="I23" s="32"/>
      <c r="J23" s="32"/>
      <c r="K23" s="32"/>
      <c r="L23" s="32"/>
      <c r="M23" s="32"/>
    </row>
    <row r="24" spans="2:13" x14ac:dyDescent="0.25"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</row>
    <row r="25" spans="2:13" x14ac:dyDescent="0.25"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</row>
    <row r="26" spans="2:13" x14ac:dyDescent="0.25"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</row>
    <row r="27" spans="2:13" x14ac:dyDescent="0.25"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</row>
    <row r="28" spans="2:13" x14ac:dyDescent="0.25"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</row>
    <row r="29" spans="2:13" ht="15.75" thickBot="1" x14ac:dyDescent="0.3">
      <c r="B29" s="32"/>
      <c r="C29" s="32" t="s">
        <v>140</v>
      </c>
      <c r="D29" s="42" t="s">
        <v>84</v>
      </c>
      <c r="E29" s="32"/>
      <c r="F29" s="32"/>
      <c r="G29" s="32"/>
      <c r="H29" s="32"/>
      <c r="I29" s="32"/>
      <c r="J29" s="32"/>
      <c r="K29" s="32"/>
      <c r="L29" s="32"/>
      <c r="M29" s="32"/>
    </row>
    <row r="30" spans="2:13" ht="15.75" thickBot="1" x14ac:dyDescent="0.3">
      <c r="B30" s="32"/>
      <c r="C30" s="32" t="s">
        <v>141</v>
      </c>
      <c r="D30" s="43" t="s">
        <v>95</v>
      </c>
      <c r="E30" s="32"/>
      <c r="F30" s="32"/>
      <c r="G30" s="32"/>
      <c r="H30" s="32"/>
      <c r="I30" s="32"/>
      <c r="J30" s="32"/>
      <c r="K30" s="32"/>
      <c r="L30" s="32"/>
      <c r="M30" s="32"/>
    </row>
  </sheetData>
  <mergeCells count="2">
    <mergeCell ref="B4:D4"/>
    <mergeCell ref="K4:M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0"/>
  <sheetViews>
    <sheetView zoomScale="80" zoomScaleNormal="80" workbookViewId="0">
      <selection activeCell="H35" sqref="H35"/>
    </sheetView>
  </sheetViews>
  <sheetFormatPr defaultRowHeight="15" x14ac:dyDescent="0.25"/>
  <cols>
    <col min="1" max="1" width="7.42578125" customWidth="1"/>
    <col min="2" max="2" width="34.85546875" bestFit="1" customWidth="1"/>
    <col min="3" max="3" width="82" bestFit="1" customWidth="1"/>
    <col min="4" max="4" width="83.7109375" customWidth="1"/>
    <col min="5" max="5" width="9.85546875" bestFit="1" customWidth="1"/>
  </cols>
  <sheetData>
    <row r="1" spans="1:10" x14ac:dyDescent="0.25">
      <c r="A1" s="70" t="s">
        <v>142</v>
      </c>
      <c r="B1" s="70" t="s">
        <v>143</v>
      </c>
      <c r="C1" s="70" t="s">
        <v>144</v>
      </c>
      <c r="D1" s="70" t="s">
        <v>145</v>
      </c>
      <c r="E1" s="71" t="s">
        <v>146</v>
      </c>
      <c r="F1" s="71" t="s">
        <v>147</v>
      </c>
      <c r="G1" s="71" t="s">
        <v>148</v>
      </c>
      <c r="H1" s="71" t="s">
        <v>149</v>
      </c>
      <c r="I1" s="71" t="s">
        <v>112</v>
      </c>
      <c r="J1" s="71" t="s">
        <v>3</v>
      </c>
    </row>
    <row r="2" spans="1:10" x14ac:dyDescent="0.25">
      <c r="A2" s="2">
        <v>1</v>
      </c>
      <c r="B2" s="2" t="s">
        <v>150</v>
      </c>
      <c r="C2" s="2" t="s">
        <v>151</v>
      </c>
      <c r="D2" s="2" t="s">
        <v>152</v>
      </c>
      <c r="E2" s="72" t="s">
        <v>153</v>
      </c>
      <c r="F2" s="72"/>
      <c r="G2" s="72"/>
      <c r="H2" s="72"/>
      <c r="I2" s="72"/>
      <c r="J2" s="72"/>
    </row>
    <row r="3" spans="1:10" x14ac:dyDescent="0.25">
      <c r="A3" s="2">
        <v>2</v>
      </c>
      <c r="B3" s="2" t="s">
        <v>150</v>
      </c>
      <c r="C3" s="2" t="s">
        <v>154</v>
      </c>
      <c r="D3" s="2" t="s">
        <v>155</v>
      </c>
      <c r="E3" s="72" t="s">
        <v>153</v>
      </c>
      <c r="F3" s="72"/>
      <c r="G3" s="72"/>
      <c r="H3" s="72"/>
      <c r="I3" s="72"/>
      <c r="J3" s="72"/>
    </row>
    <row r="4" spans="1:10" x14ac:dyDescent="0.25">
      <c r="A4" s="2">
        <v>3</v>
      </c>
      <c r="B4" s="2" t="s">
        <v>150</v>
      </c>
      <c r="C4" s="2" t="s">
        <v>156</v>
      </c>
      <c r="D4" s="2" t="s">
        <v>157</v>
      </c>
      <c r="E4" s="72" t="s">
        <v>153</v>
      </c>
      <c r="F4" s="72"/>
      <c r="G4" s="72"/>
      <c r="H4" s="72"/>
      <c r="I4" s="72"/>
      <c r="J4" s="72"/>
    </row>
    <row r="5" spans="1:10" x14ac:dyDescent="0.25">
      <c r="A5" s="2">
        <v>4</v>
      </c>
      <c r="B5" s="2" t="s">
        <v>158</v>
      </c>
      <c r="C5" s="2" t="s">
        <v>159</v>
      </c>
      <c r="D5" s="2" t="s">
        <v>160</v>
      </c>
      <c r="E5" s="72" t="s">
        <v>153</v>
      </c>
      <c r="F5" s="72" t="s">
        <v>153</v>
      </c>
      <c r="G5" s="72" t="s">
        <v>153</v>
      </c>
      <c r="H5" s="72" t="s">
        <v>153</v>
      </c>
      <c r="I5" s="72"/>
      <c r="J5" s="72"/>
    </row>
    <row r="6" spans="1:10" x14ac:dyDescent="0.25">
      <c r="A6" s="2">
        <v>5</v>
      </c>
      <c r="B6" s="2" t="s">
        <v>161</v>
      </c>
      <c r="C6" s="2" t="s">
        <v>162</v>
      </c>
      <c r="D6" s="2" t="s">
        <v>163</v>
      </c>
      <c r="E6" s="72" t="s">
        <v>153</v>
      </c>
      <c r="F6" s="72"/>
      <c r="G6" s="72"/>
      <c r="H6" s="72"/>
      <c r="I6" s="72"/>
      <c r="J6" s="72"/>
    </row>
    <row r="7" spans="1:10" x14ac:dyDescent="0.25">
      <c r="A7" s="2">
        <v>6</v>
      </c>
      <c r="B7" s="2" t="s">
        <v>40</v>
      </c>
      <c r="C7" s="2" t="s">
        <v>164</v>
      </c>
      <c r="D7" s="2" t="s">
        <v>165</v>
      </c>
      <c r="E7" s="72"/>
      <c r="F7" s="72"/>
      <c r="G7" s="72"/>
      <c r="H7" s="72"/>
      <c r="I7" s="72"/>
      <c r="J7" s="72"/>
    </row>
    <row r="8" spans="1:10" x14ac:dyDescent="0.25">
      <c r="A8" s="2">
        <v>7</v>
      </c>
      <c r="B8" s="2" t="s">
        <v>40</v>
      </c>
      <c r="C8" s="2" t="s">
        <v>166</v>
      </c>
      <c r="D8" s="2" t="s">
        <v>167</v>
      </c>
      <c r="E8" s="72"/>
      <c r="F8" s="72"/>
      <c r="G8" s="72"/>
      <c r="H8" s="72"/>
      <c r="I8" s="72"/>
      <c r="J8" s="72"/>
    </row>
    <row r="9" spans="1:10" x14ac:dyDescent="0.25">
      <c r="A9" s="2">
        <v>8</v>
      </c>
      <c r="B9" s="2" t="s">
        <v>40</v>
      </c>
      <c r="C9" s="2" t="s">
        <v>168</v>
      </c>
      <c r="D9" s="2" t="s">
        <v>169</v>
      </c>
      <c r="E9" s="72"/>
      <c r="F9" s="72"/>
      <c r="G9" s="72"/>
      <c r="H9" s="72"/>
      <c r="I9" s="72"/>
      <c r="J9" s="72"/>
    </row>
    <row r="10" spans="1:10" x14ac:dyDescent="0.25">
      <c r="A10" s="2">
        <v>9</v>
      </c>
      <c r="B10" s="2" t="s">
        <v>170</v>
      </c>
      <c r="C10" s="2" t="s">
        <v>171</v>
      </c>
      <c r="D10" s="2" t="s">
        <v>172</v>
      </c>
      <c r="E10" s="72" t="s">
        <v>153</v>
      </c>
      <c r="F10" s="72" t="s">
        <v>153</v>
      </c>
      <c r="G10" s="72"/>
      <c r="H10" s="72"/>
      <c r="I10" s="72"/>
      <c r="J10" s="72"/>
    </row>
    <row r="11" spans="1:10" x14ac:dyDescent="0.25">
      <c r="A11" s="2">
        <v>10</v>
      </c>
      <c r="B11" s="2" t="s">
        <v>170</v>
      </c>
      <c r="C11" s="2" t="s">
        <v>173</v>
      </c>
      <c r="D11" s="2" t="s">
        <v>174</v>
      </c>
      <c r="E11" s="72" t="s">
        <v>153</v>
      </c>
      <c r="F11" s="72" t="s">
        <v>153</v>
      </c>
      <c r="G11" s="72"/>
      <c r="H11" s="72"/>
      <c r="I11" s="72"/>
      <c r="J11" s="72"/>
    </row>
    <row r="12" spans="1:10" x14ac:dyDescent="0.25">
      <c r="A12" s="2">
        <v>11</v>
      </c>
      <c r="B12" s="2" t="s">
        <v>175</v>
      </c>
      <c r="C12" s="2" t="s">
        <v>176</v>
      </c>
      <c r="D12" s="2" t="s">
        <v>177</v>
      </c>
      <c r="E12" s="72" t="s">
        <v>153</v>
      </c>
      <c r="F12" s="72" t="s">
        <v>153</v>
      </c>
      <c r="G12" s="72"/>
      <c r="H12" s="72"/>
      <c r="I12" s="72"/>
      <c r="J12" s="72"/>
    </row>
    <row r="13" spans="1:10" x14ac:dyDescent="0.25">
      <c r="A13" s="2">
        <v>12</v>
      </c>
      <c r="B13" s="2" t="s">
        <v>178</v>
      </c>
      <c r="C13" s="2" t="s">
        <v>179</v>
      </c>
      <c r="D13" s="2" t="s">
        <v>180</v>
      </c>
      <c r="E13" s="72" t="s">
        <v>153</v>
      </c>
      <c r="F13" s="72" t="s">
        <v>153</v>
      </c>
      <c r="G13" s="72"/>
      <c r="H13" s="72"/>
      <c r="I13" s="72"/>
      <c r="J13" s="72"/>
    </row>
    <row r="14" spans="1:10" x14ac:dyDescent="0.25">
      <c r="A14" s="2">
        <v>13</v>
      </c>
      <c r="B14" s="2" t="s">
        <v>178</v>
      </c>
      <c r="C14" s="2" t="s">
        <v>181</v>
      </c>
      <c r="D14" s="2" t="s">
        <v>182</v>
      </c>
      <c r="E14" s="72" t="s">
        <v>153</v>
      </c>
      <c r="F14" s="72" t="s">
        <v>153</v>
      </c>
      <c r="G14" s="72"/>
      <c r="H14" s="72"/>
      <c r="I14" s="72"/>
      <c r="J14" s="72"/>
    </row>
    <row r="15" spans="1:10" x14ac:dyDescent="0.25">
      <c r="A15" s="2">
        <v>14</v>
      </c>
      <c r="B15" s="2" t="s">
        <v>91</v>
      </c>
      <c r="C15" s="2" t="s">
        <v>183</v>
      </c>
      <c r="D15" s="2" t="s">
        <v>184</v>
      </c>
      <c r="E15" s="72" t="s">
        <v>153</v>
      </c>
      <c r="F15" s="72" t="s">
        <v>153</v>
      </c>
      <c r="G15" s="72"/>
      <c r="H15" s="72"/>
      <c r="I15" s="72"/>
      <c r="J15" s="72"/>
    </row>
    <row r="16" spans="1:10" x14ac:dyDescent="0.25">
      <c r="A16" s="2">
        <v>15</v>
      </c>
      <c r="B16" s="2" t="s">
        <v>185</v>
      </c>
      <c r="C16" s="2" t="s">
        <v>186</v>
      </c>
      <c r="D16" s="32"/>
      <c r="E16" s="72" t="s">
        <v>153</v>
      </c>
      <c r="F16" s="72"/>
      <c r="G16" s="72" t="s">
        <v>153</v>
      </c>
      <c r="H16" s="72" t="s">
        <v>153</v>
      </c>
      <c r="I16" s="72"/>
      <c r="J16" s="72"/>
    </row>
    <row r="17" spans="1:10" x14ac:dyDescent="0.25">
      <c r="A17" s="2">
        <v>16</v>
      </c>
      <c r="B17" s="2" t="s">
        <v>187</v>
      </c>
      <c r="C17" s="2"/>
      <c r="D17" s="2"/>
      <c r="E17" s="72" t="s">
        <v>153</v>
      </c>
      <c r="F17" s="72"/>
      <c r="G17" s="72" t="s">
        <v>153</v>
      </c>
      <c r="H17" s="72" t="s">
        <v>153</v>
      </c>
      <c r="I17" s="73"/>
      <c r="J17" s="72"/>
    </row>
    <row r="18" spans="1:10" x14ac:dyDescent="0.25">
      <c r="A18" s="2">
        <v>17</v>
      </c>
      <c r="B18" s="2" t="s">
        <v>188</v>
      </c>
      <c r="C18" s="2" t="s">
        <v>189</v>
      </c>
      <c r="D18" s="2" t="s">
        <v>190</v>
      </c>
      <c r="E18" s="72" t="s">
        <v>153</v>
      </c>
      <c r="F18" s="72"/>
      <c r="G18" s="72" t="s">
        <v>153</v>
      </c>
      <c r="H18" s="72" t="s">
        <v>153</v>
      </c>
      <c r="I18" s="72"/>
      <c r="J18" s="72"/>
    </row>
    <row r="19" spans="1:10" x14ac:dyDescent="0.25">
      <c r="A19" s="2">
        <v>18</v>
      </c>
      <c r="B19" s="2" t="s">
        <v>191</v>
      </c>
      <c r="C19" s="2"/>
      <c r="D19" s="2" t="s">
        <v>192</v>
      </c>
      <c r="E19" s="72" t="s">
        <v>153</v>
      </c>
      <c r="F19" s="72"/>
      <c r="G19" s="72" t="s">
        <v>153</v>
      </c>
      <c r="H19" s="72" t="s">
        <v>153</v>
      </c>
      <c r="I19" s="72"/>
      <c r="J19" s="72"/>
    </row>
    <row r="20" spans="1:10" x14ac:dyDescent="0.25">
      <c r="A20" s="2">
        <v>19</v>
      </c>
      <c r="B20" s="2" t="s">
        <v>193</v>
      </c>
      <c r="C20" s="2"/>
      <c r="D20" s="2" t="s">
        <v>194</v>
      </c>
      <c r="E20" s="72" t="s">
        <v>153</v>
      </c>
      <c r="F20" s="72"/>
      <c r="G20" s="72" t="s">
        <v>153</v>
      </c>
      <c r="H20" s="72" t="s">
        <v>153</v>
      </c>
      <c r="I20" s="72"/>
      <c r="J20" s="72"/>
    </row>
    <row r="21" spans="1:10" x14ac:dyDescent="0.25">
      <c r="A21" s="2">
        <v>20</v>
      </c>
      <c r="B21" s="2" t="s">
        <v>195</v>
      </c>
      <c r="C21" s="2"/>
      <c r="D21" s="2" t="s">
        <v>196</v>
      </c>
      <c r="E21" s="72" t="s">
        <v>153</v>
      </c>
      <c r="F21" s="72"/>
      <c r="G21" s="72" t="s">
        <v>153</v>
      </c>
      <c r="H21" s="72" t="s">
        <v>153</v>
      </c>
      <c r="I21" s="72"/>
      <c r="J21" s="72"/>
    </row>
    <row r="22" spans="1:10" x14ac:dyDescent="0.25">
      <c r="A22" s="2">
        <v>21</v>
      </c>
      <c r="B22" s="2" t="s">
        <v>197</v>
      </c>
      <c r="C22" s="2"/>
      <c r="D22" s="2" t="s">
        <v>198</v>
      </c>
      <c r="E22" s="72" t="s">
        <v>153</v>
      </c>
      <c r="F22" s="72"/>
      <c r="G22" s="72" t="s">
        <v>153</v>
      </c>
      <c r="H22" s="72" t="s">
        <v>153</v>
      </c>
      <c r="I22" s="72"/>
      <c r="J22" s="72"/>
    </row>
    <row r="23" spans="1:10" x14ac:dyDescent="0.25">
      <c r="A23" s="2">
        <v>22</v>
      </c>
      <c r="B23" s="2" t="s">
        <v>199</v>
      </c>
      <c r="C23" s="2" t="s">
        <v>200</v>
      </c>
      <c r="D23" s="2" t="s">
        <v>201</v>
      </c>
      <c r="E23" s="72" t="s">
        <v>153</v>
      </c>
      <c r="F23" s="72"/>
      <c r="G23" s="72" t="s">
        <v>153</v>
      </c>
      <c r="H23" s="72" t="s">
        <v>153</v>
      </c>
      <c r="I23" s="72"/>
      <c r="J23" s="72"/>
    </row>
    <row r="24" spans="1:10" x14ac:dyDescent="0.25">
      <c r="A24" s="2">
        <v>23</v>
      </c>
      <c r="B24" s="2" t="s">
        <v>202</v>
      </c>
      <c r="C24" s="2"/>
      <c r="D24" s="2" t="s">
        <v>203</v>
      </c>
      <c r="E24" s="72" t="s">
        <v>153</v>
      </c>
      <c r="F24" s="72"/>
      <c r="G24" s="72" t="s">
        <v>153</v>
      </c>
      <c r="H24" s="72" t="s">
        <v>153</v>
      </c>
      <c r="I24" s="72"/>
      <c r="J24" s="72"/>
    </row>
    <row r="25" spans="1:10" x14ac:dyDescent="0.25">
      <c r="A25" s="2">
        <v>24</v>
      </c>
      <c r="B25" s="2" t="s">
        <v>204</v>
      </c>
      <c r="C25" s="2" t="s">
        <v>205</v>
      </c>
      <c r="D25" s="2"/>
      <c r="E25" s="72" t="s">
        <v>153</v>
      </c>
      <c r="F25" s="72" t="s">
        <v>153</v>
      </c>
      <c r="G25" s="72" t="s">
        <v>153</v>
      </c>
      <c r="H25" s="72"/>
      <c r="I25" s="72"/>
      <c r="J25" s="72"/>
    </row>
    <row r="26" spans="1:10" x14ac:dyDescent="0.25">
      <c r="A26" s="2">
        <v>25</v>
      </c>
      <c r="B26" s="2" t="s">
        <v>204</v>
      </c>
      <c r="C26" s="2" t="s">
        <v>206</v>
      </c>
      <c r="D26" s="2"/>
      <c r="E26" s="72" t="s">
        <v>153</v>
      </c>
      <c r="F26" s="72" t="s">
        <v>153</v>
      </c>
      <c r="G26" s="72" t="s">
        <v>153</v>
      </c>
      <c r="H26" s="72"/>
      <c r="I26" s="72"/>
      <c r="J26" s="72"/>
    </row>
    <row r="27" spans="1:10" x14ac:dyDescent="0.25">
      <c r="A27" s="2">
        <v>26</v>
      </c>
      <c r="B27" s="2" t="s">
        <v>204</v>
      </c>
      <c r="C27" s="2" t="s">
        <v>207</v>
      </c>
      <c r="D27" s="2"/>
      <c r="E27" s="72" t="s">
        <v>153</v>
      </c>
      <c r="F27" s="72" t="s">
        <v>153</v>
      </c>
      <c r="G27" s="72" t="s">
        <v>153</v>
      </c>
      <c r="H27" s="72"/>
      <c r="I27" s="72"/>
      <c r="J27" s="72"/>
    </row>
    <row r="28" spans="1:10" x14ac:dyDescent="0.25">
      <c r="A28" s="2">
        <v>27</v>
      </c>
      <c r="B28" s="2" t="s">
        <v>204</v>
      </c>
      <c r="C28" s="2" t="s">
        <v>207</v>
      </c>
      <c r="D28" s="2"/>
      <c r="E28" s="72" t="s">
        <v>153</v>
      </c>
      <c r="F28" s="72" t="s">
        <v>153</v>
      </c>
      <c r="G28" s="72" t="s">
        <v>153</v>
      </c>
      <c r="H28" s="72"/>
      <c r="I28" s="72"/>
      <c r="J28" s="72"/>
    </row>
    <row r="29" spans="1:10" x14ac:dyDescent="0.25">
      <c r="A29" s="2">
        <v>28</v>
      </c>
      <c r="B29" s="2" t="s">
        <v>204</v>
      </c>
      <c r="C29" s="2" t="s">
        <v>208</v>
      </c>
      <c r="D29" s="2"/>
      <c r="E29" s="72" t="s">
        <v>153</v>
      </c>
      <c r="F29" s="72" t="s">
        <v>153</v>
      </c>
      <c r="G29" s="72" t="s">
        <v>153</v>
      </c>
      <c r="H29" s="72"/>
      <c r="I29" s="72"/>
      <c r="J29" s="72"/>
    </row>
    <row r="30" spans="1:10" x14ac:dyDescent="0.25">
      <c r="A30" s="2">
        <v>29</v>
      </c>
      <c r="B30" s="2" t="s">
        <v>204</v>
      </c>
      <c r="C30" s="74" t="s">
        <v>209</v>
      </c>
      <c r="D30" s="2" t="s">
        <v>210</v>
      </c>
      <c r="E30" s="72" t="s">
        <v>153</v>
      </c>
      <c r="F30" s="72" t="s">
        <v>153</v>
      </c>
      <c r="G30" s="72" t="s">
        <v>153</v>
      </c>
      <c r="H30" s="72"/>
      <c r="I30" s="72"/>
      <c r="J30" s="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G47" sqref="G47"/>
    </sheetView>
  </sheetViews>
  <sheetFormatPr defaultRowHeight="15" x14ac:dyDescent="0.25"/>
  <cols>
    <col min="1" max="1" width="19.5703125" style="32" customWidth="1"/>
    <col min="2" max="2" width="14.5703125" customWidth="1"/>
    <col min="3" max="3" width="14.42578125" bestFit="1" customWidth="1"/>
    <col min="4" max="4" width="15.42578125" bestFit="1" customWidth="1"/>
    <col min="5" max="5" width="14.28515625" bestFit="1" customWidth="1"/>
    <col min="6" max="6" width="15.7109375" bestFit="1" customWidth="1"/>
    <col min="7" max="7" width="52.5703125" customWidth="1"/>
  </cols>
  <sheetData>
    <row r="1" spans="1:7" ht="16.5" thickTop="1" thickBot="1" x14ac:dyDescent="0.3">
      <c r="A1" s="45" t="s">
        <v>24</v>
      </c>
      <c r="B1" s="34" t="s">
        <v>57</v>
      </c>
      <c r="C1" s="34" t="s">
        <v>58</v>
      </c>
      <c r="D1" s="34" t="s">
        <v>59</v>
      </c>
      <c r="E1" s="34" t="s">
        <v>60</v>
      </c>
      <c r="F1" s="34" t="s">
        <v>61</v>
      </c>
      <c r="G1" s="35" t="s">
        <v>62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width="16.28515625" style="32" customWidth="1"/>
    <col min="2" max="2" width="13.42578125" customWidth="1"/>
    <col min="3" max="3" width="40.42578125" customWidth="1"/>
    <col min="5" max="5" width="13.28515625" customWidth="1"/>
    <col min="6" max="6" width="11.28515625" customWidth="1"/>
    <col min="7" max="7" width="9.5703125" customWidth="1"/>
  </cols>
  <sheetData>
    <row r="1" spans="1:7" ht="16.5" thickTop="1" thickBot="1" x14ac:dyDescent="0.3">
      <c r="A1" s="45" t="s">
        <v>24</v>
      </c>
      <c r="B1" s="34" t="s">
        <v>57</v>
      </c>
      <c r="C1" s="34" t="s">
        <v>63</v>
      </c>
      <c r="D1" s="34" t="s">
        <v>64</v>
      </c>
      <c r="E1" s="34" t="s">
        <v>65</v>
      </c>
      <c r="F1" s="36" t="s">
        <v>60</v>
      </c>
      <c r="G1" s="37" t="s">
        <v>57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width="21.140625" style="32" customWidth="1"/>
    <col min="10" max="10" width="12.85546875" bestFit="1" customWidth="1"/>
    <col min="17" max="17" width="104" customWidth="1"/>
    <col min="19" max="19" width="17.85546875" customWidth="1"/>
  </cols>
  <sheetData>
    <row r="1" spans="1:19" ht="16.5" thickTop="1" thickBot="1" x14ac:dyDescent="0.3">
      <c r="A1" s="45" t="s">
        <v>24</v>
      </c>
      <c r="B1" s="34" t="s">
        <v>66</v>
      </c>
      <c r="C1" s="34" t="s">
        <v>67</v>
      </c>
      <c r="D1" s="34" t="s">
        <v>68</v>
      </c>
      <c r="E1" s="34" t="s">
        <v>69</v>
      </c>
      <c r="F1" s="34" t="s">
        <v>70</v>
      </c>
      <c r="G1" s="34" t="s">
        <v>71</v>
      </c>
      <c r="H1" s="34" t="s">
        <v>72</v>
      </c>
      <c r="I1" s="34" t="s">
        <v>73</v>
      </c>
      <c r="J1" s="38" t="s">
        <v>74</v>
      </c>
      <c r="K1" s="34" t="s">
        <v>75</v>
      </c>
      <c r="L1" s="34" t="s">
        <v>76</v>
      </c>
      <c r="M1" s="38" t="s">
        <v>77</v>
      </c>
      <c r="N1" s="34" t="s">
        <v>78</v>
      </c>
      <c r="O1" s="34" t="s">
        <v>59</v>
      </c>
      <c r="P1" s="34" t="s">
        <v>79</v>
      </c>
      <c r="Q1" s="34" t="s">
        <v>80</v>
      </c>
      <c r="R1" s="39" t="s">
        <v>81</v>
      </c>
      <c r="S1" s="40" t="s">
        <v>48</v>
      </c>
    </row>
    <row r="2" spans="1:19" ht="15.75" thickTop="1" x14ac:dyDescent="0.25"/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N30" sqref="N30"/>
    </sheetView>
  </sheetViews>
  <sheetFormatPr defaultRowHeight="15" x14ac:dyDescent="0.25"/>
  <cols>
    <col min="1" max="1" width="14.85546875" customWidth="1"/>
    <col min="2" max="2" width="9.85546875" customWidth="1"/>
    <col min="3" max="3" width="43.42578125" customWidth="1"/>
    <col min="4" max="4" width="11.140625" customWidth="1"/>
  </cols>
  <sheetData>
    <row r="1" spans="1:6" ht="16.5" thickTop="1" thickBot="1" x14ac:dyDescent="0.3">
      <c r="A1" s="45" t="s">
        <v>24</v>
      </c>
      <c r="B1" s="89" t="s">
        <v>211</v>
      </c>
      <c r="C1" s="89" t="s">
        <v>212</v>
      </c>
      <c r="D1" s="89" t="s">
        <v>213</v>
      </c>
      <c r="E1" s="89" t="s">
        <v>214</v>
      </c>
      <c r="F1" s="89" t="s">
        <v>215</v>
      </c>
    </row>
    <row r="2" spans="1:6" ht="15.75" thickTop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zoomScale="70" zoomScaleNormal="70" workbookViewId="0">
      <pane ySplit="1" topLeftCell="A2" activePane="bottomLeft" state="frozen"/>
      <selection pane="bottomLeft" activeCell="C13" sqref="C13"/>
    </sheetView>
  </sheetViews>
  <sheetFormatPr defaultRowHeight="15" x14ac:dyDescent="0.25"/>
  <cols>
    <col min="1" max="1" width="22.7109375" style="32" customWidth="1"/>
    <col min="2" max="2" width="10.7109375" customWidth="1"/>
    <col min="3" max="3" width="29.140625" customWidth="1"/>
  </cols>
  <sheetData>
    <row r="1" spans="1:3" x14ac:dyDescent="0.25">
      <c r="A1" s="46" t="s">
        <v>24</v>
      </c>
      <c r="B1" s="44" t="s">
        <v>105</v>
      </c>
      <c r="C1" s="44" t="s">
        <v>106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5"/>
  <sheetViews>
    <sheetView workbookViewId="0">
      <selection activeCell="D16" sqref="D16"/>
    </sheetView>
  </sheetViews>
  <sheetFormatPr defaultRowHeight="15" x14ac:dyDescent="0.25"/>
  <cols>
    <col min="1" max="3" width="9.140625" style="1"/>
    <col min="4" max="4" width="12.42578125" style="1" bestFit="1" customWidth="1"/>
    <col min="5" max="16384" width="9.140625" style="1"/>
  </cols>
  <sheetData>
    <row r="1" spans="1:4" ht="15.75" thickTop="1" x14ac:dyDescent="0.25">
      <c r="A1" s="4" t="s">
        <v>3</v>
      </c>
      <c r="B1" s="4" t="s">
        <v>10</v>
      </c>
      <c r="C1" s="4" t="s">
        <v>17</v>
      </c>
      <c r="D1" s="4" t="s">
        <v>15</v>
      </c>
    </row>
    <row r="2" spans="1:4" x14ac:dyDescent="0.25">
      <c r="A2" s="2" t="s">
        <v>0</v>
      </c>
      <c r="B2" s="3" t="s">
        <v>11</v>
      </c>
      <c r="C2" s="1" t="s">
        <v>12</v>
      </c>
      <c r="D2" s="2" t="s">
        <v>16</v>
      </c>
    </row>
    <row r="3" spans="1:4" x14ac:dyDescent="0.25">
      <c r="A3" s="2" t="s">
        <v>1</v>
      </c>
      <c r="B3" s="3" t="s">
        <v>13</v>
      </c>
      <c r="C3" s="3"/>
      <c r="D3" s="2"/>
    </row>
    <row r="4" spans="1:4" x14ac:dyDescent="0.25">
      <c r="A4" s="2" t="s">
        <v>2</v>
      </c>
      <c r="B4" s="3" t="s">
        <v>14</v>
      </c>
      <c r="C4" s="3"/>
      <c r="D4" s="2"/>
    </row>
    <row r="5" spans="1:4" x14ac:dyDescent="0.25">
      <c r="A5" s="2" t="s">
        <v>6</v>
      </c>
      <c r="C5" s="3"/>
      <c r="D5" s="2"/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STATUS report</vt:lpstr>
      <vt:lpstr>RIC checklist</vt:lpstr>
      <vt:lpstr>Patch list</vt:lpstr>
      <vt:lpstr>DB member list</vt:lpstr>
      <vt:lpstr>TFT op.</vt:lpstr>
      <vt:lpstr>Synergy Objects</vt:lpstr>
      <vt:lpstr>DB tables impactes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De Roy</dc:creator>
  <cp:lastModifiedBy>bkokobe</cp:lastModifiedBy>
  <dcterms:created xsi:type="dcterms:W3CDTF">2012-12-13T08:07:28Z</dcterms:created>
  <dcterms:modified xsi:type="dcterms:W3CDTF">2017-02-12T19:37:33Z</dcterms:modified>
</cp:coreProperties>
</file>
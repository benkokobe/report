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05" windowWidth="18840" windowHeight="6255" tabRatio="947" activeTab="1"/>
  </bookViews>
  <sheets>
    <sheet name="Summary" sheetId="1" r:id="rId1"/>
    <sheet name="Sheet1" sheetId="2" r:id="rId2"/>
  </sheets>
  <externalReferences>
    <externalReference r:id="rId3"/>
  </externalReferences>
  <definedNames>
    <definedName name="_xlnm._FilterDatabase" localSheetId="0" hidden="1">Summary!$A$13:$F$31</definedName>
    <definedName name="Z_11DA137D_FA21_4924_8652_5200ADF70677_.wvu.FilterData" localSheetId="0" hidden="1">Summary!$A$13:$F$13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E26" i="2" l="1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14" i="1"/>
  <c r="E15" i="1"/>
  <c r="E1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17" i="1"/>
  <c r="C31" i="2" l="1"/>
  <c r="C40" i="1"/>
  <c r="B34" i="1"/>
  <c r="B33" i="1"/>
  <c r="B31" i="1"/>
  <c r="B30" i="1"/>
  <c r="B29" i="1"/>
  <c r="B28" i="1"/>
  <c r="B27" i="1"/>
  <c r="B26" i="1"/>
  <c r="B25" i="1"/>
  <c r="B24" i="1"/>
  <c r="B23" i="1"/>
  <c r="B22" i="1"/>
  <c r="B19" i="1"/>
  <c r="B18" i="1"/>
  <c r="B16" i="1"/>
  <c r="B17" i="1"/>
</calcChain>
</file>

<file path=xl/sharedStrings.xml><?xml version="1.0" encoding="utf-8"?>
<sst xmlns="http://schemas.openxmlformats.org/spreadsheetml/2006/main" count="154" uniqueCount="60">
  <si>
    <t>Status</t>
  </si>
  <si>
    <t>Steps</t>
  </si>
  <si>
    <t>Comments</t>
  </si>
  <si>
    <t>Low</t>
  </si>
  <si>
    <t>From</t>
  </si>
  <si>
    <t>To</t>
  </si>
  <si>
    <t>Risks</t>
  </si>
  <si>
    <t>Begin</t>
  </si>
  <si>
    <t>End</t>
  </si>
  <si>
    <t>TYPE</t>
  </si>
  <si>
    <t>PACK</t>
  </si>
  <si>
    <t>SYNERGY</t>
  </si>
  <si>
    <t>CONFIG</t>
  </si>
  <si>
    <t>DB</t>
  </si>
  <si>
    <t>BUILD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</si>
  <si>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</si>
  <si>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</si>
  <si>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</si>
  <si>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Perform the manual actions before compilations</t>
  </si>
  <si>
    <t>Perform the manual actions after compilations/deployment</t>
  </si>
  <si>
    <t>todo</t>
  </si>
  <si>
    <t>no</t>
  </si>
  <si>
    <t>zOS dst</t>
  </si>
  <si>
    <t>zOS src</t>
  </si>
  <si>
    <t>Synopsis here</t>
  </si>
  <si>
    <t>From here</t>
  </si>
  <si>
    <t>To here</t>
  </si>
  <si>
    <t>PACK-XXX-XXXX</t>
  </si>
  <si>
    <t>TOTAL estimation in man days</t>
  </si>
  <si>
    <t>Generate the TOS + check TFT operations</t>
  </si>
  <si>
    <t>1</t>
  </si>
  <si>
    <t>2,5</t>
  </si>
  <si>
    <t>0,5</t>
  </si>
  <si>
    <t>0,125</t>
  </si>
  <si>
    <t>Weight</t>
  </si>
  <si>
    <t>Estimate</t>
  </si>
  <si>
    <t>2</t>
  </si>
  <si>
    <t>Number of DB members</t>
  </si>
  <si>
    <t>Number of transfer operations</t>
  </si>
  <si>
    <t>Add the Synergy tasks to the manual folder of To here</t>
  </si>
  <si>
    <t>Update the Synergy project THALER~To here</t>
  </si>
  <si>
    <t>Detect the conflicts of the Synergy project THALER~To here</t>
  </si>
  <si>
    <t xml:space="preserve"> Synchronize the Synergy work area of the project THALER~To here</t>
  </si>
  <si>
    <t>Execute the 'P' transfers of the TOS  on the master BES</t>
  </si>
  <si>
    <t>Detect membership conflicts of the TOS 'PACK-XXX-XXXX' using the Flattening</t>
  </si>
  <si>
    <t>Deploy the Synergy tasks on project THALER~To here</t>
  </si>
  <si>
    <t>Compare all templates before their deployment into the projects of To here</t>
  </si>
  <si>
    <t>Deploy the configuration files into the projects of To here</t>
  </si>
  <si>
    <t>Execute the 'P/D' orders of the TOS 'PACK-XXX-XXXX' on the master BES</t>
  </si>
  <si>
    <t>Execute the 'H' orders of the TOS 'PACK-XXX-XXXX' on the master BES</t>
  </si>
  <si>
    <t>Execute the 'U/B' orders of the TOS 'PACK-XXX-XXXX' on the master BES</t>
  </si>
  <si>
    <t>Execute the 'T/O' orders of the TOS 'PACK-XXX-XXXX' on the master BES</t>
  </si>
  <si>
    <t>Execute the 'A' orders of the TOS 'PACK-XXX-XXXX' on the master BES</t>
  </si>
  <si>
    <t>Build the V2 environment of To here</t>
  </si>
  <si>
    <t>Execute the 'C' orders of the TOS 'PACK-XXX-XXXX' on the master BES</t>
  </si>
  <si>
    <t>19</t>
  </si>
  <si>
    <t>0,01</t>
  </si>
  <si>
    <t>0,1</t>
  </si>
  <si>
    <t>9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</si>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</sst>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b/>
      <sz val="11"/>
      <color indexed="9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2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rgb="FF3F3F3F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0" fontId="20" fillId="35" borderId="18" applyNumberFormat="0" applyAlignment="0" applyProtection="0"/>
  </cellStyleXfs>
  <cellXfs count="42">
    <xf numFmtId="0" fontId="0" fillId="0" borderId="0" xfId="0"/>
    <xf numFmtId="0" fontId="19" fillId="33" borderId="11" xfId="0" applyFont="1" applyFill="1" applyBorder="1" applyAlignment="1">
      <alignment horizontal="left" vertical="center"/>
    </xf>
    <xf numFmtId="0" fontId="19" fillId="33" borderId="11" xfId="0" applyFont="1" applyFill="1" applyBorder="1" applyAlignment="1">
      <alignment vertical="center"/>
    </xf>
    <xf numFmtId="0" fontId="0" fillId="33" borderId="11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3" xfId="0" applyFont="1" applyBorder="1" applyAlignment="1">
      <alignment horizontal="left" vertical="center"/>
    </xf>
    <xf numFmtId="0" fontId="19" fillId="0" borderId="14" xfId="0" applyFont="1" applyBorder="1" applyAlignment="1">
      <alignment horizontal="left" vertical="center"/>
    </xf>
    <xf numFmtId="0" fontId="19" fillId="33" borderId="15" xfId="0" applyFont="1" applyFill="1" applyBorder="1" applyAlignment="1">
      <alignment horizontal="right" vertical="center"/>
    </xf>
    <xf numFmtId="0" fontId="19" fillId="33" borderId="15" xfId="0" applyFont="1" applyFill="1" applyBorder="1" applyAlignment="1">
      <alignment vertical="center"/>
    </xf>
    <xf numFmtId="0" fontId="13" fillId="7" borderId="16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2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0" fontId="0" fillId="0" borderId="0" xfId="0"/>
    <xf numFmtId="0" fontId="13" fillId="7" borderId="16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49" fontId="0" fillId="0" borderId="10" xfId="0" applyNumberForma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10" xfId="0" applyFont="1" applyBorder="1" applyAlignment="1">
      <alignment vertical="center"/>
    </xf>
    <xf numFmtId="0" fontId="13" fillId="7" borderId="16" xfId="13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13" fillId="7" borderId="16" xfId="13" applyNumberFormat="1" applyBorder="1" applyAlignment="1">
      <alignment horizontal="center" vertical="center"/>
    </xf>
    <xf numFmtId="2" fontId="0" fillId="0" borderId="10" xfId="0" applyNumberFormat="1" applyBorder="1" applyAlignment="1">
      <alignment vertical="center"/>
    </xf>
    <xf numFmtId="2" fontId="0" fillId="0" borderId="19" xfId="0" applyNumberFormat="1" applyBorder="1" applyAlignment="1">
      <alignment vertical="center"/>
    </xf>
    <xf numFmtId="0" fontId="13" fillId="7" borderId="21" xfId="13" applyBorder="1" applyAlignment="1">
      <alignment horizontal="center" vertical="center"/>
    </xf>
    <xf numFmtId="0" fontId="13" fillId="7" borderId="22" xfId="13" applyBorder="1" applyAlignment="1">
      <alignment horizontal="center"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01"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tellier/Documents/201401/17.%20PIP%20PIPz/PACK-PIP-007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3"/>
  <sheetViews>
    <sheetView zoomScale="85" zoomScaleNormal="85" workbookViewId="0">
      <pane ySplit="13" topLeftCell="A14" activePane="bottomLeft" state="frozen"/>
      <selection pane="bottomLeft" activeCell="B14" sqref="B14:B35"/>
    </sheetView>
  </sheetViews>
  <sheetFormatPr defaultRowHeight="15" x14ac:dyDescent="0.25"/>
  <cols>
    <col min="1" max="1" width="13.5703125" style="17" bestFit="1" customWidth="1"/>
    <col min="2" max="2" width="72.5703125" style="4" bestFit="1" customWidth="1"/>
    <col min="3" max="3" width="7.5703125" style="4" bestFit="1" customWidth="1"/>
    <col min="4" max="4" width="7.5703125" style="4" customWidth="1"/>
    <col min="5" max="5" width="8.7109375" style="4" bestFit="1" customWidth="1"/>
    <col min="6" max="6" width="16.42578125" style="4" bestFit="1" customWidth="1"/>
    <col min="7" max="7" width="15" style="4" bestFit="1" customWidth="1"/>
    <col min="8" max="8" width="5.7109375" style="4" bestFit="1" customWidth="1"/>
    <col min="9" max="9" width="73.28515625" style="4" bestFit="1" customWidth="1"/>
    <col min="10" max="10" width="100.28515625" style="4" bestFit="1" customWidth="1"/>
    <col min="11" max="11" width="58.85546875" style="4" customWidth="1"/>
    <col min="12" max="16384" width="9.140625" style="4"/>
  </cols>
  <sheetData>
    <row r="1" spans="1:10" ht="3.75" customHeight="1" x14ac:dyDescent="0.25">
      <c r="A1" s="16"/>
      <c r="B1" s="1"/>
      <c r="C1" s="1"/>
      <c r="D1" s="1"/>
      <c r="E1" s="2"/>
      <c r="F1" s="3"/>
      <c r="G1" s="3"/>
      <c r="H1" s="3"/>
      <c r="I1" s="3"/>
      <c r="J1"/>
    </row>
    <row r="2" spans="1:10" ht="15" customHeight="1" x14ac:dyDescent="0.25">
      <c r="A2" s="27"/>
      <c r="B2" s="6" t="s">
        <v>24</v>
      </c>
      <c r="C2" s="7"/>
      <c r="D2" s="7"/>
      <c r="E2" s="5" t="s">
        <v>4</v>
      </c>
      <c r="F2" s="4" t="s">
        <v>25</v>
      </c>
      <c r="G2" s="5" t="s">
        <v>5</v>
      </c>
      <c r="H2" s="4" t="s">
        <v>26</v>
      </c>
      <c r="I2" s="8"/>
      <c r="J2"/>
    </row>
    <row r="3" spans="1:10" ht="3.75" customHeight="1" x14ac:dyDescent="0.25">
      <c r="A3" s="18"/>
      <c r="B3" s="7"/>
      <c r="C3" s="7"/>
      <c r="D3" s="7"/>
      <c r="E3" s="7"/>
      <c r="F3" s="7"/>
      <c r="G3" s="7"/>
      <c r="H3" s="7"/>
      <c r="I3" s="8"/>
      <c r="J3"/>
    </row>
    <row r="4" spans="1:10" ht="15" customHeight="1" x14ac:dyDescent="0.25">
      <c r="A4" s="28"/>
      <c r="B4" s="23"/>
      <c r="C4" s="7"/>
      <c r="D4" s="7"/>
      <c r="E4" s="5" t="s">
        <v>0</v>
      </c>
      <c r="F4" s="6" t="s">
        <v>20</v>
      </c>
      <c r="G4" s="5" t="s">
        <v>6</v>
      </c>
      <c r="H4" s="6" t="s">
        <v>3</v>
      </c>
      <c r="I4" s="8"/>
      <c r="J4"/>
    </row>
    <row r="5" spans="1:10" ht="3.75" customHeight="1" x14ac:dyDescent="0.25">
      <c r="A5" s="18"/>
      <c r="B5" s="7"/>
      <c r="C5" s="7"/>
      <c r="D5" s="7"/>
      <c r="E5" s="8"/>
      <c r="F5" s="7"/>
      <c r="G5" s="7"/>
      <c r="H5" s="7"/>
      <c r="I5" s="8"/>
      <c r="J5"/>
    </row>
    <row r="6" spans="1:10" ht="3.75" customHeight="1" x14ac:dyDescent="0.25">
      <c r="A6" s="18"/>
      <c r="B6" s="7"/>
      <c r="C6" s="7"/>
      <c r="D6" s="7"/>
      <c r="E6" s="7"/>
      <c r="F6" s="7"/>
      <c r="G6" s="7"/>
      <c r="H6" s="7"/>
      <c r="I6" s="8"/>
      <c r="J6"/>
    </row>
    <row r="7" spans="1:10" ht="15" customHeight="1" x14ac:dyDescent="0.25">
      <c r="A7" s="27"/>
      <c r="B7" s="24"/>
      <c r="C7" s="7"/>
      <c r="D7" s="7"/>
      <c r="E7" s="5" t="s">
        <v>7</v>
      </c>
      <c r="F7" s="9"/>
      <c r="G7" s="5" t="s">
        <v>8</v>
      </c>
      <c r="H7" s="23"/>
      <c r="I7" s="8"/>
      <c r="J7"/>
    </row>
    <row r="8" spans="1:10" ht="3.75" customHeight="1" x14ac:dyDescent="0.25">
      <c r="A8" s="18"/>
      <c r="B8" s="7"/>
      <c r="C8" s="7"/>
      <c r="D8" s="7"/>
      <c r="E8" s="5"/>
      <c r="F8" s="8"/>
      <c r="G8" s="8"/>
      <c r="H8" s="5"/>
      <c r="I8" s="8"/>
      <c r="J8"/>
    </row>
    <row r="9" spans="1:10" ht="15" customHeight="1" x14ac:dyDescent="0.25">
      <c r="A9" s="27"/>
      <c r="B9" t="s">
        <v>27</v>
      </c>
      <c r="C9" s="7"/>
      <c r="D9" s="7"/>
      <c r="E9" s="5" t="s">
        <v>23</v>
      </c>
      <c r="F9" s="9" t="s">
        <v>21</v>
      </c>
      <c r="G9" s="5" t="s">
        <v>22</v>
      </c>
      <c r="H9" s="9" t="s">
        <v>21</v>
      </c>
      <c r="I9" s="8"/>
      <c r="J9"/>
    </row>
    <row r="10" spans="1:10" ht="3.75" customHeight="1" x14ac:dyDescent="0.25">
      <c r="A10" s="18"/>
      <c r="B10" s="7"/>
      <c r="C10" s="7"/>
      <c r="D10" s="7"/>
      <c r="E10" s="8"/>
      <c r="F10" s="7"/>
      <c r="G10" s="7"/>
      <c r="H10" s="7"/>
      <c r="I10" s="7"/>
      <c r="J10"/>
    </row>
    <row r="11" spans="1:10" ht="15" customHeight="1" x14ac:dyDescent="0.25">
      <c r="A11" s="27"/>
      <c r="B11" s="22"/>
      <c r="C11" s="10"/>
      <c r="D11" s="10"/>
      <c r="E11" s="10"/>
      <c r="F11" s="10"/>
      <c r="G11" s="10"/>
      <c r="H11" s="10"/>
      <c r="I11" s="11"/>
      <c r="J11"/>
    </row>
    <row r="12" spans="1:10" ht="3.75" customHeight="1" thickBot="1" x14ac:dyDescent="0.3">
      <c r="A12" s="19"/>
      <c r="B12" s="12"/>
      <c r="C12" s="12"/>
      <c r="D12" s="12"/>
      <c r="E12" s="13"/>
      <c r="F12" s="13"/>
      <c r="G12" s="13"/>
      <c r="H12" s="13"/>
      <c r="I12" s="13"/>
      <c r="J12"/>
    </row>
    <row r="13" spans="1:10" ht="15" customHeight="1" thickTop="1" x14ac:dyDescent="0.25">
      <c r="A13" s="25" t="s">
        <v>9</v>
      </c>
      <c r="B13" s="14" t="s">
        <v>1</v>
      </c>
      <c r="C13" s="32" t="s">
        <v>34</v>
      </c>
      <c r="D13" s="32"/>
      <c r="E13" s="37" t="s">
        <v>35</v>
      </c>
      <c r="F13" s="40" t="s">
        <v>2</v>
      </c>
      <c r="G13" s="41"/>
      <c r="H13" s="41"/>
      <c r="I13" s="41"/>
    </row>
    <row r="14" spans="1:10" x14ac:dyDescent="0.25">
      <c r="A14" s="20" t="s">
        <v>10</v>
      </c>
      <c r="B14" s="15" t="s">
        <v>15</v>
      </c>
      <c r="C14" s="29" t="s">
        <v>30</v>
      </c>
      <c r="D14" s="29"/>
      <c r="E14" s="38">
        <f t="shared" ref="E14:E16" si="0">C14*D14</f>
        <v>0</v>
      </c>
      <c r="F14" s="33"/>
      <c r="G14" s="34"/>
      <c r="H14" s="34"/>
      <c r="I14" s="35"/>
    </row>
    <row r="15" spans="1:10" x14ac:dyDescent="0.25">
      <c r="A15" s="20" t="s">
        <v>10</v>
      </c>
      <c r="B15" s="31" t="s">
        <v>29</v>
      </c>
      <c r="C15" s="29" t="s">
        <v>30</v>
      </c>
      <c r="D15" s="29"/>
      <c r="E15" s="38">
        <f t="shared" si="0"/>
        <v>0</v>
      </c>
      <c r="F15" s="33"/>
      <c r="G15" s="34"/>
      <c r="H15" s="34"/>
      <c r="I15" s="35"/>
    </row>
    <row r="16" spans="1:10" x14ac:dyDescent="0.25">
      <c r="A16" s="20" t="s">
        <v>11</v>
      </c>
      <c r="B16" s="31" t="str">
        <f>CONCATENATE("Add the Synergy tasks to the manual folder of ",H2)</f>
        <v>Add the Synergy tasks to the manual folder of To here</v>
      </c>
      <c r="C16" s="29" t="s">
        <v>30</v>
      </c>
      <c r="D16" s="29"/>
      <c r="E16" s="38">
        <f t="shared" si="0"/>
        <v>0</v>
      </c>
      <c r="F16" s="33"/>
      <c r="G16" s="34"/>
      <c r="H16" s="34"/>
      <c r="I16" s="35"/>
    </row>
    <row r="17" spans="1:9" x14ac:dyDescent="0.25">
      <c r="A17" s="20" t="s">
        <v>11</v>
      </c>
      <c r="B17" s="31" t="str">
        <f>CONCATENATE("Update the Synergy project THALER~",H2)</f>
        <v>Update the Synergy project THALER~To here</v>
      </c>
      <c r="C17" s="29" t="s">
        <v>30</v>
      </c>
      <c r="D17" s="29"/>
      <c r="E17" s="38">
        <f>C17*D17</f>
        <v>0</v>
      </c>
      <c r="F17" s="33"/>
      <c r="G17" s="34"/>
      <c r="H17" s="34"/>
      <c r="I17" s="35"/>
    </row>
    <row r="18" spans="1:9" x14ac:dyDescent="0.25">
      <c r="A18" s="20" t="s">
        <v>11</v>
      </c>
      <c r="B18" s="15" t="str">
        <f>CONCATENATE("Detect the conflicts of the Synergy project THALER~",H2)</f>
        <v>Detect the conflicts of the Synergy project THALER~To here</v>
      </c>
      <c r="C18" s="29" t="s">
        <v>31</v>
      </c>
      <c r="D18" s="29"/>
      <c r="E18" s="38">
        <f t="shared" ref="E18:E35" si="1">C18*D18</f>
        <v>0</v>
      </c>
      <c r="F18" s="33"/>
      <c r="G18" s="34"/>
      <c r="H18" s="34"/>
      <c r="I18" s="35"/>
    </row>
    <row r="19" spans="1:9" x14ac:dyDescent="0.25">
      <c r="A19" s="20" t="s">
        <v>11</v>
      </c>
      <c r="B19" s="15" t="str">
        <f>CONCATENATE(" Synchronize the Synergy work area of the project THALER~",H2)</f>
        <v xml:space="preserve"> Synchronize the Synergy work area of the project THALER~To here</v>
      </c>
      <c r="C19" s="29" t="s">
        <v>31</v>
      </c>
      <c r="D19" s="29"/>
      <c r="E19" s="38">
        <f t="shared" si="1"/>
        <v>0</v>
      </c>
      <c r="F19" s="33"/>
      <c r="G19" s="34"/>
      <c r="H19" s="34"/>
      <c r="I19" s="35"/>
    </row>
    <row r="20" spans="1:9" x14ac:dyDescent="0.25">
      <c r="A20" s="20" t="s">
        <v>12</v>
      </c>
      <c r="B20" s="15" t="s">
        <v>16</v>
      </c>
      <c r="C20" s="29" t="s">
        <v>32</v>
      </c>
      <c r="D20" s="29"/>
      <c r="E20" s="38">
        <f t="shared" si="1"/>
        <v>0</v>
      </c>
      <c r="F20" s="33"/>
      <c r="G20" s="34"/>
      <c r="H20" s="34"/>
      <c r="I20" s="35"/>
    </row>
    <row r="21" spans="1:9" x14ac:dyDescent="0.25">
      <c r="A21" s="20" t="s">
        <v>13</v>
      </c>
      <c r="B21" s="15" t="s">
        <v>17</v>
      </c>
      <c r="C21" s="29" t="s">
        <v>33</v>
      </c>
      <c r="D21" s="29"/>
      <c r="E21" s="38">
        <f t="shared" si="1"/>
        <v>0</v>
      </c>
      <c r="F21" s="33"/>
      <c r="G21" s="34"/>
      <c r="H21" s="34"/>
      <c r="I21" s="35"/>
    </row>
    <row r="22" spans="1:9" x14ac:dyDescent="0.25">
      <c r="A22" s="20" t="s">
        <v>13</v>
      </c>
      <c r="B22" s="15" t="str">
        <f>CONCATENATE("Execute the 'P' transfers of the TOS ",B11," on the master BES")</f>
        <v>Execute the 'P' transfers of the TOS  on the master BES</v>
      </c>
      <c r="C22" s="29" t="s">
        <v>33</v>
      </c>
      <c r="D22" s="29"/>
      <c r="E22" s="38">
        <f t="shared" si="1"/>
        <v>0</v>
      </c>
      <c r="F22" s="33"/>
      <c r="G22" s="34"/>
      <c r="H22" s="34"/>
      <c r="I22" s="35"/>
    </row>
    <row r="23" spans="1:9" x14ac:dyDescent="0.25">
      <c r="A23" s="20" t="s">
        <v>13</v>
      </c>
      <c r="B23" s="15" t="str">
        <f>CONCATENATE("Detect membership conflicts of the TOS '",B9,"' using the Flattening")</f>
        <v>Detect membership conflicts of the TOS 'PACK-XXX-XXXX' using the Flattening</v>
      </c>
      <c r="C23" s="29" t="s">
        <v>30</v>
      </c>
      <c r="D23" s="29"/>
      <c r="E23" s="38">
        <f t="shared" si="1"/>
        <v>0</v>
      </c>
      <c r="F23" s="33"/>
      <c r="G23" s="34"/>
      <c r="H23" s="34"/>
      <c r="I23" s="35"/>
    </row>
    <row r="24" spans="1:9" x14ac:dyDescent="0.25">
      <c r="A24" s="20" t="s">
        <v>11</v>
      </c>
      <c r="B24" s="15" t="str">
        <f>CONCATENATE("Deploy the Synergy tasks on project THALER~",H2)</f>
        <v>Deploy the Synergy tasks on project THALER~To here</v>
      </c>
      <c r="C24" s="29" t="s">
        <v>32</v>
      </c>
      <c r="D24" s="29"/>
      <c r="E24" s="38">
        <f t="shared" si="1"/>
        <v>0</v>
      </c>
      <c r="F24" s="33"/>
      <c r="G24" s="34"/>
      <c r="H24" s="34"/>
      <c r="I24" s="35"/>
    </row>
    <row r="25" spans="1:9" ht="21" customHeight="1" x14ac:dyDescent="0.25">
      <c r="A25" s="20" t="s">
        <v>12</v>
      </c>
      <c r="B25" s="15" t="str">
        <f>CONCATENATE("Compare all templates before their deployment into the projects of ",H2)</f>
        <v>Compare all templates before their deployment into the projects of To here</v>
      </c>
      <c r="C25" s="29" t="s">
        <v>31</v>
      </c>
      <c r="D25" s="29"/>
      <c r="E25" s="38">
        <f t="shared" si="1"/>
        <v>0</v>
      </c>
      <c r="F25" s="33"/>
      <c r="G25" s="34"/>
      <c r="H25" s="34"/>
      <c r="I25" s="35"/>
    </row>
    <row r="26" spans="1:9" x14ac:dyDescent="0.25">
      <c r="A26" s="20" t="s">
        <v>12</v>
      </c>
      <c r="B26" s="15" t="str">
        <f>CONCATENATE("Deploy the configuration files into the projects of ",H2)</f>
        <v>Deploy the configuration files into the projects of To here</v>
      </c>
      <c r="C26" s="29" t="s">
        <v>30</v>
      </c>
      <c r="D26" s="29"/>
      <c r="E26" s="38">
        <f t="shared" si="1"/>
        <v>0</v>
      </c>
      <c r="F26" s="33"/>
      <c r="G26" s="34"/>
      <c r="H26" s="34"/>
      <c r="I26" s="35"/>
    </row>
    <row r="27" spans="1:9" x14ac:dyDescent="0.25">
      <c r="A27" s="20" t="s">
        <v>13</v>
      </c>
      <c r="B27" s="15" t="str">
        <f>CONCATENATE("Execute the 'P/D' orders of the TOS '",B9,"' on the master BES")</f>
        <v>Execute the 'P/D' orders of the TOS 'PACK-XXX-XXXX' on the master BES</v>
      </c>
      <c r="C27" s="29" t="s">
        <v>30</v>
      </c>
      <c r="D27" s="29"/>
      <c r="E27" s="38">
        <f t="shared" si="1"/>
        <v>0</v>
      </c>
      <c r="F27" s="33"/>
      <c r="G27" s="34"/>
      <c r="H27" s="34"/>
      <c r="I27" s="35"/>
    </row>
    <row r="28" spans="1:9" x14ac:dyDescent="0.25">
      <c r="A28" s="20" t="s">
        <v>13</v>
      </c>
      <c r="B28" s="15" t="str">
        <f>CONCATENATE("Execute the 'H' orders of the TOS '",B9,"' on the master BES")</f>
        <v>Execute the 'H' orders of the TOS 'PACK-XXX-XXXX' on the master BES</v>
      </c>
      <c r="C28" s="29" t="s">
        <v>30</v>
      </c>
      <c r="D28" s="29"/>
      <c r="E28" s="38">
        <f t="shared" si="1"/>
        <v>0</v>
      </c>
      <c r="F28" s="33"/>
      <c r="G28" s="34"/>
      <c r="H28" s="34"/>
      <c r="I28" s="35"/>
    </row>
    <row r="29" spans="1:9" x14ac:dyDescent="0.25">
      <c r="A29" s="20" t="s">
        <v>13</v>
      </c>
      <c r="B29" s="15" t="str">
        <f>CONCATENATE("Execute the 'U/B' orders of the TOS '",B9,"' on the master BES")</f>
        <v>Execute the 'U/B' orders of the TOS 'PACK-XXX-XXXX' on the master BES</v>
      </c>
      <c r="C29" s="29" t="s">
        <v>30</v>
      </c>
      <c r="D29" s="29"/>
      <c r="E29" s="38">
        <f t="shared" si="1"/>
        <v>0</v>
      </c>
      <c r="F29" s="33"/>
      <c r="G29" s="34"/>
      <c r="H29" s="34"/>
      <c r="I29" s="35"/>
    </row>
    <row r="30" spans="1:9" x14ac:dyDescent="0.25">
      <c r="A30" s="20" t="s">
        <v>13</v>
      </c>
      <c r="B30" s="15" t="str">
        <f>CONCATENATE("Execute the 'T/O' orders of the TOS '",B9,"' on the master BES")</f>
        <v>Execute the 'T/O' orders of the TOS 'PACK-XXX-XXXX' on the master BES</v>
      </c>
      <c r="C30" s="29" t="s">
        <v>30</v>
      </c>
      <c r="D30" s="29"/>
      <c r="E30" s="38">
        <f t="shared" si="1"/>
        <v>0</v>
      </c>
      <c r="F30" s="33"/>
      <c r="G30" s="34"/>
      <c r="H30" s="34"/>
      <c r="I30" s="35"/>
    </row>
    <row r="31" spans="1:9" x14ac:dyDescent="0.25">
      <c r="A31" s="20" t="s">
        <v>13</v>
      </c>
      <c r="B31" s="15" t="str">
        <f>CONCATENATE("Execute the 'A' orders of the TOS '",B9,"' on the master BES")</f>
        <v>Execute the 'A' orders of the TOS 'PACK-XXX-XXXX' on the master BES</v>
      </c>
      <c r="C31" s="29" t="s">
        <v>30</v>
      </c>
      <c r="D31" s="29"/>
      <c r="E31" s="38">
        <f t="shared" si="1"/>
        <v>0</v>
      </c>
      <c r="F31" s="33"/>
      <c r="G31" s="34"/>
      <c r="H31" s="34"/>
      <c r="I31" s="35"/>
    </row>
    <row r="32" spans="1:9" x14ac:dyDescent="0.25">
      <c r="A32" s="20" t="s">
        <v>12</v>
      </c>
      <c r="B32" s="15" t="s">
        <v>18</v>
      </c>
      <c r="C32" s="29" t="s">
        <v>30</v>
      </c>
      <c r="D32" s="29"/>
      <c r="E32" s="38">
        <f t="shared" si="1"/>
        <v>0</v>
      </c>
      <c r="F32" s="33"/>
      <c r="G32" s="34"/>
      <c r="H32" s="34"/>
      <c r="I32" s="35"/>
    </row>
    <row r="33" spans="1:9" x14ac:dyDescent="0.25">
      <c r="A33" s="20" t="s">
        <v>14</v>
      </c>
      <c r="B33" s="15" t="str">
        <f>CONCATENATE("Build the V2 environment of ",H2)</f>
        <v>Build the V2 environment of To here</v>
      </c>
      <c r="C33" s="29" t="s">
        <v>36</v>
      </c>
      <c r="D33" s="29"/>
      <c r="E33" s="38">
        <f t="shared" si="1"/>
        <v>0</v>
      </c>
      <c r="F33" s="33"/>
      <c r="G33" s="34"/>
      <c r="H33" s="34"/>
      <c r="I33" s="35"/>
    </row>
    <row r="34" spans="1:9" x14ac:dyDescent="0.25">
      <c r="A34" s="20" t="s">
        <v>13</v>
      </c>
      <c r="B34" s="15" t="str">
        <f>CONCATENATE("Execute the 'C' orders of the TOS '",B9,"' on the master BES")</f>
        <v>Execute the 'C' orders of the TOS 'PACK-XXX-XXXX' on the master BES</v>
      </c>
      <c r="C34" s="29" t="s">
        <v>30</v>
      </c>
      <c r="D34" s="29"/>
      <c r="E34" s="38">
        <f t="shared" si="1"/>
        <v>0</v>
      </c>
      <c r="F34" s="33"/>
      <c r="G34" s="34"/>
      <c r="H34" s="34"/>
      <c r="I34" s="35"/>
    </row>
    <row r="35" spans="1:9" x14ac:dyDescent="0.25">
      <c r="A35" s="20" t="s">
        <v>12</v>
      </c>
      <c r="B35" s="15" t="s">
        <v>19</v>
      </c>
      <c r="C35" s="29" t="s">
        <v>30</v>
      </c>
      <c r="D35" s="29"/>
      <c r="E35" s="38">
        <f t="shared" si="1"/>
        <v>0</v>
      </c>
      <c r="F35" s="33"/>
      <c r="G35" s="34"/>
      <c r="H35" s="34"/>
      <c r="I35" s="35"/>
    </row>
    <row r="36" spans="1:9" x14ac:dyDescent="0.25">
      <c r="G36" s="21"/>
    </row>
    <row r="39" spans="1:9" ht="15.75" thickBot="1" x14ac:dyDescent="0.3"/>
    <row r="40" spans="1:9" ht="15.75" thickBot="1" x14ac:dyDescent="0.3">
      <c r="B40" s="30" t="s">
        <v>28</v>
      </c>
      <c r="C40" s="39">
        <f>SUM(E14:E35)</f>
        <v>0</v>
      </c>
      <c r="D40" s="36"/>
    </row>
    <row r="41" spans="1:9" ht="15.75" thickTop="1" x14ac:dyDescent="0.25"/>
    <row r="42" spans="1:9" x14ac:dyDescent="0.25">
      <c r="B42" s="4" t="s">
        <v>37</v>
      </c>
    </row>
    <row r="43" spans="1:9" x14ac:dyDescent="0.25">
      <c r="B43" s="4" t="s">
        <v>38</v>
      </c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23">
    <mergeCell ref="F28:I28"/>
    <mergeCell ref="F29:I29"/>
    <mergeCell ref="F30:I30"/>
    <mergeCell ref="F31:I31"/>
    <mergeCell ref="F32:I32"/>
    <mergeCell ref="F33:I33"/>
    <mergeCell ref="F34:I34"/>
    <mergeCell ref="F35:I35"/>
    <mergeCell ref="F23:I23"/>
    <mergeCell ref="F24:I24"/>
    <mergeCell ref="F25:I25"/>
    <mergeCell ref="F26:I26"/>
    <mergeCell ref="F27:I27"/>
    <mergeCell ref="F18:I18"/>
    <mergeCell ref="F19:I19"/>
    <mergeCell ref="F20:I20"/>
    <mergeCell ref="F21:I21"/>
    <mergeCell ref="F22:I22"/>
    <mergeCell ref="F13:I13"/>
    <mergeCell ref="F14:I14"/>
    <mergeCell ref="F15:I15"/>
    <mergeCell ref="F16:I16"/>
    <mergeCell ref="F17:I17"/>
  </mergeCells>
  <conditionalFormatting sqref="C14:D14 F14:F35 C27:D35 E18:E35 C16:D22 C27:E28">
    <cfRule type="expression" dxfId="658" priority="573">
      <formula>$C14="[ Bypassed ]"</formula>
    </cfRule>
    <cfRule type="expression" dxfId="657" priority="574">
      <formula>$C14="[ Done         ]"</formula>
    </cfRule>
    <cfRule type="expression" dxfId="656" priority="575">
      <formula>$C14="[ Pending… ]"</formula>
    </cfRule>
    <cfRule type="expression" dxfId="655" priority="576">
      <formula>$C14="[ To do        ]"</formula>
    </cfRule>
  </conditionalFormatting>
  <conditionalFormatting sqref="E32">
    <cfRule type="expression" dxfId="654" priority="473">
      <formula>$C32="[ Bypassed ]"</formula>
    </cfRule>
    <cfRule type="expression" dxfId="653" priority="474">
      <formula>$C32="[ Done         ]"</formula>
    </cfRule>
    <cfRule type="expression" dxfId="652" priority="475">
      <formula>$C32="[ Pending… ]"</formula>
    </cfRule>
    <cfRule type="expression" dxfId="651" priority="476">
      <formula>$C32="[ To do        ]"</formula>
    </cfRule>
  </conditionalFormatting>
  <conditionalFormatting sqref="E33">
    <cfRule type="expression" dxfId="650" priority="449">
      <formula>$C33="[ Bypassed ]"</formula>
    </cfRule>
    <cfRule type="expression" dxfId="649" priority="450">
      <formula>$C33="[ Done         ]"</formula>
    </cfRule>
    <cfRule type="expression" dxfId="648" priority="451">
      <formula>$C33="[ Pending… ]"</formula>
    </cfRule>
    <cfRule type="expression" dxfId="647" priority="452">
      <formula>$C33="[ To do        ]"</formula>
    </cfRule>
  </conditionalFormatting>
  <conditionalFormatting sqref="C16:E19 E14:E16">
    <cfRule type="expression" dxfId="646" priority="333">
      <formula>$C14="[ Bypassed ]"</formula>
    </cfRule>
    <cfRule type="expression" dxfId="645" priority="334">
      <formula>$C14="[ Done         ]"</formula>
    </cfRule>
    <cfRule type="expression" dxfId="644" priority="335">
      <formula>$C14="[ Pending… ]"</formula>
    </cfRule>
    <cfRule type="expression" dxfId="643" priority="336">
      <formula>$C14="[ To do        ]"</formula>
    </cfRule>
  </conditionalFormatting>
  <conditionalFormatting sqref="C33:D33">
    <cfRule type="expression" dxfId="642" priority="321">
      <formula>$C33="[ Bypassed ]"</formula>
    </cfRule>
    <cfRule type="expression" dxfId="641" priority="322">
      <formula>$C33="[ Done         ]"</formula>
    </cfRule>
    <cfRule type="expression" dxfId="640" priority="323">
      <formula>$C33="[ Pending… ]"</formula>
    </cfRule>
    <cfRule type="expression" dxfId="639" priority="324">
      <formula>$C33="[ To do        ]"</formula>
    </cfRule>
  </conditionalFormatting>
  <conditionalFormatting sqref="E14">
    <cfRule type="expression" dxfId="638" priority="169">
      <formula>$C14="[ Bypassed ]"</formula>
    </cfRule>
    <cfRule type="expression" dxfId="637" priority="170">
      <formula>$C14="[ Done         ]"</formula>
    </cfRule>
    <cfRule type="expression" dxfId="636" priority="171">
      <formula>$C14="[ Pending… ]"</formula>
    </cfRule>
    <cfRule type="expression" dxfId="635" priority="172">
      <formula>$C14="[ To do        ]"</formula>
    </cfRule>
  </conditionalFormatting>
  <conditionalFormatting sqref="C15:D15">
    <cfRule type="expression" dxfId="634" priority="157">
      <formula>$C15="[ Bypassed ]"</formula>
    </cfRule>
    <cfRule type="expression" dxfId="633" priority="158">
      <formula>$C15="[ Done         ]"</formula>
    </cfRule>
    <cfRule type="expression" dxfId="632" priority="159">
      <formula>$C15="[ Pending… ]"</formula>
    </cfRule>
    <cfRule type="expression" dxfId="631" priority="160">
      <formula>$C15="[ To do        ]"</formula>
    </cfRule>
  </conditionalFormatting>
  <conditionalFormatting sqref="E15">
    <cfRule type="expression" dxfId="630" priority="145">
      <formula>$C15="[ Bypassed ]"</formula>
    </cfRule>
    <cfRule type="expression" dxfId="629" priority="146">
      <formula>$C15="[ Done         ]"</formula>
    </cfRule>
    <cfRule type="expression" dxfId="628" priority="147">
      <formula>$C15="[ Pending… ]"</formula>
    </cfRule>
    <cfRule type="expression" dxfId="627" priority="148">
      <formula>$C15="[ To do        ]"</formula>
    </cfRule>
  </conditionalFormatting>
  <conditionalFormatting sqref="E20:E21">
    <cfRule type="expression" dxfId="626" priority="133">
      <formula>$C20="[ Bypassed ]"</formula>
    </cfRule>
    <cfRule type="expression" dxfId="625" priority="134">
      <formula>$C20="[ Done         ]"</formula>
    </cfRule>
    <cfRule type="expression" dxfId="624" priority="135">
      <formula>$C20="[ Pending… ]"</formula>
    </cfRule>
    <cfRule type="expression" dxfId="623" priority="136">
      <formula>$C20="[ To do        ]"</formula>
    </cfRule>
  </conditionalFormatting>
  <conditionalFormatting sqref="C24:D24">
    <cfRule type="expression" dxfId="622" priority="121">
      <formula>$C24="[ Bypassed ]"</formula>
    </cfRule>
    <cfRule type="expression" dxfId="621" priority="122">
      <formula>$C24="[ Done         ]"</formula>
    </cfRule>
    <cfRule type="expression" dxfId="620" priority="123">
      <formula>$C24="[ Pending… ]"</formula>
    </cfRule>
    <cfRule type="expression" dxfId="619" priority="124">
      <formula>$C24="[ To do        ]"</formula>
    </cfRule>
  </conditionalFormatting>
  <conditionalFormatting sqref="E24">
    <cfRule type="expression" dxfId="618" priority="109">
      <formula>$C24="[ Bypassed ]"</formula>
    </cfRule>
    <cfRule type="expression" dxfId="617" priority="110">
      <formula>$C24="[ Done         ]"</formula>
    </cfRule>
    <cfRule type="expression" dxfId="616" priority="111">
      <formula>$C24="[ Pending… ]"</formula>
    </cfRule>
    <cfRule type="expression" dxfId="615" priority="112">
      <formula>$C24="[ To do        ]"</formula>
    </cfRule>
  </conditionalFormatting>
  <conditionalFormatting sqref="C25:D25">
    <cfRule type="expression" dxfId="614" priority="97">
      <formula>$C25="[ Bypassed ]"</formula>
    </cfRule>
    <cfRule type="expression" dxfId="613" priority="98">
      <formula>$C25="[ Done         ]"</formula>
    </cfRule>
    <cfRule type="expression" dxfId="612" priority="99">
      <formula>$C25="[ Pending… ]"</formula>
    </cfRule>
    <cfRule type="expression" dxfId="611" priority="100">
      <formula>$C25="[ To do        ]"</formula>
    </cfRule>
  </conditionalFormatting>
  <conditionalFormatting sqref="E25">
    <cfRule type="expression" dxfId="610" priority="85">
      <formula>$C25="[ Bypassed ]"</formula>
    </cfRule>
    <cfRule type="expression" dxfId="609" priority="86">
      <formula>$C25="[ Done         ]"</formula>
    </cfRule>
    <cfRule type="expression" dxfId="608" priority="87">
      <formula>$C25="[ Pending… ]"</formula>
    </cfRule>
    <cfRule type="expression" dxfId="607" priority="88">
      <formula>$C25="[ To do        ]"</formula>
    </cfRule>
  </conditionalFormatting>
  <conditionalFormatting sqref="C26:D26">
    <cfRule type="expression" dxfId="606" priority="73">
      <formula>$C26="[ Bypassed ]"</formula>
    </cfRule>
    <cfRule type="expression" dxfId="605" priority="74">
      <formula>$C26="[ Done         ]"</formula>
    </cfRule>
    <cfRule type="expression" dxfId="604" priority="75">
      <formula>$C26="[ Pending… ]"</formula>
    </cfRule>
    <cfRule type="expression" dxfId="603" priority="76">
      <formula>$C26="[ To do        ]"</formula>
    </cfRule>
  </conditionalFormatting>
  <conditionalFormatting sqref="E26">
    <cfRule type="expression" dxfId="602" priority="61">
      <formula>$C26="[ Bypassed ]"</formula>
    </cfRule>
    <cfRule type="expression" dxfId="601" priority="62">
      <formula>$C26="[ Done         ]"</formula>
    </cfRule>
    <cfRule type="expression" dxfId="600" priority="63">
      <formula>$C26="[ Pending… ]"</formula>
    </cfRule>
    <cfRule type="expression" dxfId="599" priority="64">
      <formula>$C26="[ To do        ]"</formula>
    </cfRule>
  </conditionalFormatting>
  <conditionalFormatting sqref="C34:E35">
    <cfRule type="expression" dxfId="598" priority="45">
      <formula>$C34="[ Bypassed ]"</formula>
    </cfRule>
    <cfRule type="expression" dxfId="597" priority="46">
      <formula>$C34="[ Done         ]"</formula>
    </cfRule>
    <cfRule type="expression" dxfId="596" priority="47">
      <formula>$C34="[ Pending… ]"</formula>
    </cfRule>
    <cfRule type="expression" dxfId="595" priority="48">
      <formula>$C34="[ To do        ]"</formula>
    </cfRule>
  </conditionalFormatting>
  <conditionalFormatting sqref="C2:E2 A1:I1 G2 G4 C7:E7 G7 C9:E9 A10:I10 A12:I12 A5:H6 A3:H3 A8:I8 I2:I7 C4:E4 G9 I9">
    <cfRule type="expression" dxfId="594" priority="704">
      <formula>$F$4=#REF!</formula>
    </cfRule>
    <cfRule type="expression" dxfId="593" priority="705">
      <formula>$F$4=#REF!</formula>
    </cfRule>
  </conditionalFormatting>
  <conditionalFormatting sqref="C2:E2 A1:I1 G2 G4 C7:E7 G7 C9:E9 A10:I10 A12:I12 A5:H6 A3:H3 A8:I8 I2:I7 C4:E4 G9 I9">
    <cfRule type="expression" dxfId="592" priority="744">
      <formula>$F$4=#REF!</formula>
    </cfRule>
  </conditionalFormatting>
  <conditionalFormatting sqref="A34 B35 C34:E35 A14:B33 C14:D14 E14:F35">
    <cfRule type="expression" dxfId="591" priority="768">
      <formula>#REF!=#REF!</formula>
    </cfRule>
    <cfRule type="expression" dxfId="590" priority="769">
      <formula>#REF!=#REF!</formula>
    </cfRule>
    <cfRule type="expression" dxfId="589" priority="770">
      <formula>#REF!=#REF!</formula>
    </cfRule>
    <cfRule type="expression" dxfId="588" priority="771">
      <formula>#REF!=#REF!</formula>
    </cfRule>
  </conditionalFormatting>
  <conditionalFormatting sqref="A35 C27:D35 E18:E35 C16:D22 C27:E28">
    <cfRule type="expression" dxfId="567" priority="365">
      <formula>#REF!=#REF!</formula>
    </cfRule>
    <cfRule type="expression" dxfId="566" priority="366">
      <formula>#REF!=#REF!</formula>
    </cfRule>
    <cfRule type="expression" dxfId="565" priority="367">
      <formula>#REF!=#REF!</formula>
    </cfRule>
    <cfRule type="expression" dxfId="564" priority="368">
      <formula>#REF!=#REF!</formula>
    </cfRule>
  </conditionalFormatting>
  <conditionalFormatting sqref="B34">
    <cfRule type="expression" dxfId="563" priority="361">
      <formula>#REF!=#REF!</formula>
    </cfRule>
    <cfRule type="expression" dxfId="562" priority="362">
      <formula>#REF!=#REF!</formula>
    </cfRule>
    <cfRule type="expression" dxfId="561" priority="363">
      <formula>#REF!=#REF!</formula>
    </cfRule>
    <cfRule type="expression" dxfId="560" priority="364">
      <formula>#REF!=#REF!</formula>
    </cfRule>
  </conditionalFormatting>
  <conditionalFormatting sqref="C16:E19 E14:E16">
    <cfRule type="expression" dxfId="555" priority="341">
      <formula>#REF!=#REF!</formula>
    </cfRule>
    <cfRule type="expression" dxfId="554" priority="342">
      <formula>#REF!=#REF!</formula>
    </cfRule>
    <cfRule type="expression" dxfId="553" priority="343">
      <formula>#REF!=#REF!</formula>
    </cfRule>
    <cfRule type="expression" dxfId="552" priority="344">
      <formula>#REF!=#REF!</formula>
    </cfRule>
  </conditionalFormatting>
  <conditionalFormatting sqref="C33:D33">
    <cfRule type="expression" dxfId="547" priority="329">
      <formula>#REF!=#REF!</formula>
    </cfRule>
    <cfRule type="expression" dxfId="546" priority="330">
      <formula>#REF!=#REF!</formula>
    </cfRule>
    <cfRule type="expression" dxfId="545" priority="331">
      <formula>#REF!=#REF!</formula>
    </cfRule>
    <cfRule type="expression" dxfId="544" priority="332">
      <formula>#REF!=#REF!</formula>
    </cfRule>
  </conditionalFormatting>
  <conditionalFormatting sqref="E14">
    <cfRule type="expression" dxfId="539" priority="177">
      <formula>#REF!=#REF!</formula>
    </cfRule>
    <cfRule type="expression" dxfId="538" priority="178">
      <formula>#REF!=#REF!</formula>
    </cfRule>
    <cfRule type="expression" dxfId="537" priority="179">
      <formula>#REF!=#REF!</formula>
    </cfRule>
    <cfRule type="expression" dxfId="536" priority="180">
      <formula>#REF!=#REF!</formula>
    </cfRule>
  </conditionalFormatting>
  <conditionalFormatting sqref="C15:D15">
    <cfRule type="expression" dxfId="531" priority="165">
      <formula>#REF!=#REF!</formula>
    </cfRule>
    <cfRule type="expression" dxfId="530" priority="166">
      <formula>#REF!=#REF!</formula>
    </cfRule>
    <cfRule type="expression" dxfId="529" priority="167">
      <formula>#REF!=#REF!</formula>
    </cfRule>
    <cfRule type="expression" dxfId="528" priority="168">
      <formula>#REF!=#REF!</formula>
    </cfRule>
  </conditionalFormatting>
  <conditionalFormatting sqref="E15">
    <cfRule type="expression" dxfId="523" priority="153">
      <formula>#REF!=#REF!</formula>
    </cfRule>
    <cfRule type="expression" dxfId="522" priority="154">
      <formula>#REF!=#REF!</formula>
    </cfRule>
    <cfRule type="expression" dxfId="521" priority="155">
      <formula>#REF!=#REF!</formula>
    </cfRule>
    <cfRule type="expression" dxfId="520" priority="156">
      <formula>#REF!=#REF!</formula>
    </cfRule>
  </conditionalFormatting>
  <conditionalFormatting sqref="E20:E21">
    <cfRule type="expression" dxfId="515" priority="141">
      <formula>#REF!=#REF!</formula>
    </cfRule>
    <cfRule type="expression" dxfId="514" priority="142">
      <formula>#REF!=#REF!</formula>
    </cfRule>
    <cfRule type="expression" dxfId="513" priority="143">
      <formula>#REF!=#REF!</formula>
    </cfRule>
    <cfRule type="expression" dxfId="512" priority="144">
      <formula>#REF!=#REF!</formula>
    </cfRule>
  </conditionalFormatting>
  <conditionalFormatting sqref="C24:D24">
    <cfRule type="expression" dxfId="507" priority="129">
      <formula>#REF!=#REF!</formula>
    </cfRule>
    <cfRule type="expression" dxfId="506" priority="130">
      <formula>#REF!=#REF!</formula>
    </cfRule>
    <cfRule type="expression" dxfId="505" priority="131">
      <formula>#REF!=#REF!</formula>
    </cfRule>
    <cfRule type="expression" dxfId="504" priority="132">
      <formula>#REF!=#REF!</formula>
    </cfRule>
  </conditionalFormatting>
  <conditionalFormatting sqref="E24">
    <cfRule type="expression" dxfId="499" priority="117">
      <formula>#REF!=#REF!</formula>
    </cfRule>
    <cfRule type="expression" dxfId="498" priority="118">
      <formula>#REF!=#REF!</formula>
    </cfRule>
    <cfRule type="expression" dxfId="497" priority="119">
      <formula>#REF!=#REF!</formula>
    </cfRule>
    <cfRule type="expression" dxfId="496" priority="120">
      <formula>#REF!=#REF!</formula>
    </cfRule>
  </conditionalFormatting>
  <conditionalFormatting sqref="C25:D25">
    <cfRule type="expression" dxfId="491" priority="105">
      <formula>#REF!=#REF!</formula>
    </cfRule>
    <cfRule type="expression" dxfId="490" priority="106">
      <formula>#REF!=#REF!</formula>
    </cfRule>
    <cfRule type="expression" dxfId="489" priority="107">
      <formula>#REF!=#REF!</formula>
    </cfRule>
    <cfRule type="expression" dxfId="488" priority="108">
      <formula>#REF!=#REF!</formula>
    </cfRule>
  </conditionalFormatting>
  <conditionalFormatting sqref="E25">
    <cfRule type="expression" dxfId="483" priority="93">
      <formula>#REF!=#REF!</formula>
    </cfRule>
    <cfRule type="expression" dxfId="482" priority="94">
      <formula>#REF!=#REF!</formula>
    </cfRule>
    <cfRule type="expression" dxfId="481" priority="95">
      <formula>#REF!=#REF!</formula>
    </cfRule>
    <cfRule type="expression" dxfId="480" priority="96">
      <formula>#REF!=#REF!</formula>
    </cfRule>
  </conditionalFormatting>
  <conditionalFormatting sqref="C26:D26">
    <cfRule type="expression" dxfId="475" priority="81">
      <formula>#REF!=#REF!</formula>
    </cfRule>
    <cfRule type="expression" dxfId="474" priority="82">
      <formula>#REF!=#REF!</formula>
    </cfRule>
    <cfRule type="expression" dxfId="473" priority="83">
      <formula>#REF!=#REF!</formula>
    </cfRule>
    <cfRule type="expression" dxfId="472" priority="84">
      <formula>#REF!=#REF!</formula>
    </cfRule>
  </conditionalFormatting>
  <conditionalFormatting sqref="E26">
    <cfRule type="expression" dxfId="467" priority="69">
      <formula>#REF!=#REF!</formula>
    </cfRule>
    <cfRule type="expression" dxfId="466" priority="70">
      <formula>#REF!=#REF!</formula>
    </cfRule>
    <cfRule type="expression" dxfId="465" priority="71">
      <formula>#REF!=#REF!</formula>
    </cfRule>
    <cfRule type="expression" dxfId="464" priority="72">
      <formula>#REF!=#REF!</formula>
    </cfRule>
  </conditionalFormatting>
  <conditionalFormatting sqref="C23:D23">
    <cfRule type="expression" dxfId="459" priority="57">
      <formula>#REF!=#REF!</formula>
    </cfRule>
    <cfRule type="expression" dxfId="458" priority="58">
      <formula>#REF!=#REF!</formula>
    </cfRule>
    <cfRule type="expression" dxfId="457" priority="59">
      <formula>#REF!=#REF!</formula>
    </cfRule>
    <cfRule type="expression" dxfId="456" priority="60">
      <formula>#REF!=#REF!</formula>
    </cfRule>
  </conditionalFormatting>
  <conditionalFormatting sqref="A14:I35">
    <cfRule type="expression" dxfId="447" priority="905">
      <formula>#REF!=#REF!</formula>
    </cfRule>
  </conditionalFormatting>
  <dataValidations disablePrompts="1" count="3">
    <dataValidation type="date" allowBlank="1" showInputMessage="1" showErrorMessage="1" sqref="H7 F7 B10 B3:B6">
      <formula1>40817</formula1>
      <formula2>77341</formula2>
    </dataValidation>
    <dataValidation type="list" allowBlank="1" showInputMessage="1" showErrorMessage="1" sqref="H4">
      <formula1>#REF!</formula1>
    </dataValidation>
    <dataValidation type="list" allowBlank="1" showInputMessage="1" showErrorMessage="1" sqref="F4 A36:A1048576">
      <formula1>#REF!</formula1>
    </dataValidation>
  </dataValidation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77" id="{30EE5342-FC00-470E-B484-A531D86AC4EF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E14:F35</xm:sqref>
        </x14:conditionalFormatting>
        <x14:conditionalFormatting xmlns:xm="http://schemas.microsoft.com/office/excel/2006/main">
          <x14:cfRule type="expression" priority="517" id="{39C14331-7C3F-4CC5-9079-0F9B94987BA6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B15:B31 C27:D35 E18:E35 C16:D22 C27:E28 C14:D14</xm:sqref>
        </x14:conditionalFormatting>
        <x14:conditionalFormatting xmlns:xm="http://schemas.microsoft.com/office/excel/2006/main">
          <x14:cfRule type="expression" priority="513" id="{B824B496-39A0-4BDA-9423-012E7122F14B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 B14</xm:sqref>
        </x14:conditionalFormatting>
        <x14:conditionalFormatting xmlns:xm="http://schemas.microsoft.com/office/excel/2006/main">
          <x14:cfRule type="expression" priority="461" id="{82DB31DE-CBD9-41F1-B5A6-B5F093F98794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B32</xm:sqref>
        </x14:conditionalFormatting>
        <x14:conditionalFormatting xmlns:xm="http://schemas.microsoft.com/office/excel/2006/main">
          <x14:cfRule type="expression" priority="437" id="{5DC9204B-93B3-45F1-AF2A-1372A7D30A96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B33</xm:sqref>
        </x14:conditionalFormatting>
        <x14:conditionalFormatting xmlns:xm="http://schemas.microsoft.com/office/excel/2006/main">
          <x14:cfRule type="expression" priority="357" id="{14D22C57-40A8-408F-A4E2-1DA0737F9F8D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B34</xm:sqref>
        </x14:conditionalFormatting>
        <x14:conditionalFormatting xmlns:xm="http://schemas.microsoft.com/office/excel/2006/main">
          <x14:cfRule type="expression" priority="337" id="{C739D071-B6EB-47C1-960B-AECAC2286603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C16:E19 E14:E16</xm:sqref>
        </x14:conditionalFormatting>
        <x14:conditionalFormatting xmlns:xm="http://schemas.microsoft.com/office/excel/2006/main">
          <x14:cfRule type="expression" priority="325" id="{7C7FBF57-0210-4F77-A90E-5B5C1A81E0E6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C33:D33</xm:sqref>
        </x14:conditionalFormatting>
        <x14:conditionalFormatting xmlns:xm="http://schemas.microsoft.com/office/excel/2006/main">
          <x14:cfRule type="expression" priority="173" id="{7488AFBA-6329-4EFF-97CF-881159409F5B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E14</xm:sqref>
        </x14:conditionalFormatting>
        <x14:conditionalFormatting xmlns:xm="http://schemas.microsoft.com/office/excel/2006/main">
          <x14:cfRule type="expression" priority="161" id="{3AE9EA2B-3A71-4B9F-AC62-CA0641B092D9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C15:D15</xm:sqref>
        </x14:conditionalFormatting>
        <x14:conditionalFormatting xmlns:xm="http://schemas.microsoft.com/office/excel/2006/main">
          <x14:cfRule type="expression" priority="149" id="{9D6EF5BB-24B7-42C5-84E2-6327D9737DF0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</xm:sqref>
        </x14:conditionalFormatting>
        <x14:conditionalFormatting xmlns:xm="http://schemas.microsoft.com/office/excel/2006/main">
          <x14:cfRule type="expression" priority="137" id="{31CF01F2-8EAD-4EA9-9034-819EB1BCF64D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E20:E21</xm:sqref>
        </x14:conditionalFormatting>
        <x14:conditionalFormatting xmlns:xm="http://schemas.microsoft.com/office/excel/2006/main">
          <x14:cfRule type="expression" priority="125" id="{EF84E1BE-1F87-43C2-8DFC-719963B01A1E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C24:D24</xm:sqref>
        </x14:conditionalFormatting>
        <x14:conditionalFormatting xmlns:xm="http://schemas.microsoft.com/office/excel/2006/main">
          <x14:cfRule type="expression" priority="113" id="{A5CBCC5B-0C4D-4664-8102-487F5E4EA310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E24</xm:sqref>
        </x14:conditionalFormatting>
        <x14:conditionalFormatting xmlns:xm="http://schemas.microsoft.com/office/excel/2006/main">
          <x14:cfRule type="expression" priority="101" id="{9BBC0DE4-7645-453E-A7DE-0744D18B942B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C25:D25</xm:sqref>
        </x14:conditionalFormatting>
        <x14:conditionalFormatting xmlns:xm="http://schemas.microsoft.com/office/excel/2006/main">
          <x14:cfRule type="expression" priority="89" id="{1181ACEB-B96B-4252-813C-B997B222F41D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E25</xm:sqref>
        </x14:conditionalFormatting>
        <x14:conditionalFormatting xmlns:xm="http://schemas.microsoft.com/office/excel/2006/main">
          <x14:cfRule type="expression" priority="77" id="{27DFC92D-442F-49AE-B669-33AC6C394022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C26:D26</xm:sqref>
        </x14:conditionalFormatting>
        <x14:conditionalFormatting xmlns:xm="http://schemas.microsoft.com/office/excel/2006/main">
          <x14:cfRule type="expression" priority="65" id="{D83B4D24-E0D6-4537-88B0-A6405ECF19D6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E26</xm:sqref>
        </x14:conditionalFormatting>
        <x14:conditionalFormatting xmlns:xm="http://schemas.microsoft.com/office/excel/2006/main">
          <x14:cfRule type="expression" priority="53" id="{A6987D24-3D7B-4DAD-A852-B5945C7F7E23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C23:D23</xm:sqref>
        </x14:conditionalFormatting>
        <x14:conditionalFormatting xmlns:xm="http://schemas.microsoft.com/office/excel/2006/main">
          <x14:cfRule type="expression" priority="49" id="{142C8980-DD55-492A-9AAB-E85D563C6331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C34:E35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34"/>
  <sheetViews>
    <sheetView tabSelected="1" zoomScale="90" zoomScaleNormal="90" workbookViewId="0">
      <selection activeCell="N14" sqref="N14"/>
    </sheetView>
  </sheetViews>
  <sheetFormatPr defaultRowHeight="15" x14ac:dyDescent="0.25"/>
  <cols>
    <col min="1" max="1" width="8.85546875" bestFit="1" customWidth="1"/>
    <col min="2" max="2" width="75.28515625" customWidth="1"/>
  </cols>
  <sheetData>
    <row r="3" spans="1:5" ht="15.75" thickBot="1" x14ac:dyDescent="0.3"/>
    <row r="4" spans="1:5" ht="15.75" thickTop="1" x14ac:dyDescent="0.25">
      <c r="A4" s="25" t="s">
        <v>9</v>
      </c>
      <c r="B4" s="14" t="s">
        <v>1</v>
      </c>
      <c r="C4" s="32" t="s">
        <v>34</v>
      </c>
      <c r="D4" s="32"/>
      <c r="E4" s="37" t="s">
        <v>35</v>
      </c>
    </row>
    <row r="5" spans="1:5" x14ac:dyDescent="0.25">
      <c r="A5" s="26" t="s">
        <v>10</v>
      </c>
      <c r="B5" s="15" t="s">
        <v>15</v>
      </c>
      <c r="C5" s="29" t="s">
        <v>56</v>
      </c>
      <c r="D5" s="29" t="s">
        <v>55</v>
      </c>
      <c r="E5" s="38">
        <f t="shared" ref="E5:E7" si="0">C5*D5</f>
        <v>0.19</v>
      </c>
    </row>
    <row r="6" spans="1:5" x14ac:dyDescent="0.25">
      <c r="A6" s="26" t="s">
        <v>10</v>
      </c>
      <c r="B6" s="31" t="s">
        <v>29</v>
      </c>
      <c r="C6" s="29" t="s">
        <v>57</v>
      </c>
      <c r="D6" s="29" t="s">
        <v>55</v>
      </c>
      <c r="E6" s="38">
        <f t="shared" si="0"/>
        <v>1.9000000000000001</v>
      </c>
    </row>
    <row r="7" spans="1:5" x14ac:dyDescent="0.25">
      <c r="A7" s="26" t="s">
        <v>11</v>
      </c>
      <c r="B7" s="31" t="s">
        <v>39</v>
      </c>
      <c r="C7" s="29" t="s">
        <v>56</v>
      </c>
      <c r="D7" s="29" t="s">
        <v>58</v>
      </c>
      <c r="E7" s="38">
        <f t="shared" si="0"/>
        <v>0.09</v>
      </c>
    </row>
    <row r="8" spans="1:5" x14ac:dyDescent="0.25">
      <c r="A8" s="26" t="s">
        <v>11</v>
      </c>
      <c r="B8" s="31" t="s">
        <v>40</v>
      </c>
      <c r="C8" s="29" t="s">
        <v>30</v>
      </c>
      <c r="D8" s="29" t="s">
        <v>30</v>
      </c>
      <c r="E8" s="38">
        <f>C8*D8</f>
        <v>1</v>
      </c>
    </row>
    <row r="9" spans="1:5" x14ac:dyDescent="0.25">
      <c r="A9" s="26" t="s">
        <v>11</v>
      </c>
      <c r="B9" s="15" t="s">
        <v>41</v>
      </c>
      <c r="C9" s="29" t="s">
        <v>31</v>
      </c>
      <c r="D9" s="29" t="s">
        <v>30</v>
      </c>
      <c r="E9" s="38">
        <f t="shared" ref="E9:E26" si="1">C9*D9</f>
        <v>2.5</v>
      </c>
    </row>
    <row r="10" spans="1:5" x14ac:dyDescent="0.25">
      <c r="A10" s="26" t="s">
        <v>11</v>
      </c>
      <c r="B10" s="15" t="s">
        <v>42</v>
      </c>
      <c r="C10" s="29" t="s">
        <v>31</v>
      </c>
      <c r="D10" s="29" t="s">
        <v>30</v>
      </c>
      <c r="E10" s="38">
        <f t="shared" si="1"/>
        <v>2.5</v>
      </c>
    </row>
    <row r="11" spans="1:5" x14ac:dyDescent="0.25">
      <c r="A11" s="26" t="s">
        <v>12</v>
      </c>
      <c r="B11" s="15" t="s">
        <v>16</v>
      </c>
      <c r="C11" s="29" t="s">
        <v>57</v>
      </c>
      <c r="D11" s="29" t="s">
        <v>59</v>
      </c>
      <c r="E11" s="38">
        <f t="shared" si="1"/>
        <v>0.30000000000000004</v>
      </c>
    </row>
    <row r="12" spans="1:5" x14ac:dyDescent="0.25">
      <c r="A12" s="26" t="s">
        <v>13</v>
      </c>
      <c r="B12" s="15" t="s">
        <v>17</v>
      </c>
      <c r="C12" s="29" t="s">
        <v>33</v>
      </c>
      <c r="D12" s="29"/>
      <c r="E12" s="38">
        <f t="shared" si="1"/>
        <v>0</v>
      </c>
    </row>
    <row r="13" spans="1:5" x14ac:dyDescent="0.25">
      <c r="A13" s="26" t="s">
        <v>13</v>
      </c>
      <c r="B13" s="15" t="s">
        <v>43</v>
      </c>
      <c r="C13" s="29" t="s">
        <v>33</v>
      </c>
      <c r="D13" s="29"/>
      <c r="E13" s="38">
        <f t="shared" si="1"/>
        <v>0</v>
      </c>
    </row>
    <row r="14" spans="1:5" x14ac:dyDescent="0.25">
      <c r="A14" s="26" t="s">
        <v>13</v>
      </c>
      <c r="B14" s="15" t="s">
        <v>44</v>
      </c>
      <c r="C14" s="29" t="s">
        <v>30</v>
      </c>
      <c r="D14" s="29"/>
      <c r="E14" s="38">
        <f t="shared" si="1"/>
        <v>0</v>
      </c>
    </row>
    <row r="15" spans="1:5" x14ac:dyDescent="0.25">
      <c r="A15" s="26" t="s">
        <v>11</v>
      </c>
      <c r="B15" s="15" t="s">
        <v>45</v>
      </c>
      <c r="C15" s="29" t="s">
        <v>32</v>
      </c>
      <c r="D15" s="29"/>
      <c r="E15" s="38">
        <f t="shared" si="1"/>
        <v>0</v>
      </c>
    </row>
    <row r="16" spans="1:5" x14ac:dyDescent="0.25">
      <c r="A16" s="26" t="s">
        <v>12</v>
      </c>
      <c r="B16" s="15" t="s">
        <v>46</v>
      </c>
      <c r="C16" s="29" t="s">
        <v>31</v>
      </c>
      <c r="D16" s="29"/>
      <c r="E16" s="38">
        <f t="shared" si="1"/>
        <v>0</v>
      </c>
    </row>
    <row r="17" spans="1:5" x14ac:dyDescent="0.25">
      <c r="A17" s="26" t="s">
        <v>12</v>
      </c>
      <c r="B17" s="15" t="s">
        <v>47</v>
      </c>
      <c r="C17" s="29" t="s">
        <v>30</v>
      </c>
      <c r="D17" s="29"/>
      <c r="E17" s="38">
        <f t="shared" si="1"/>
        <v>0</v>
      </c>
    </row>
    <row r="18" spans="1:5" x14ac:dyDescent="0.25">
      <c r="A18" s="26" t="s">
        <v>13</v>
      </c>
      <c r="B18" s="15" t="s">
        <v>48</v>
      </c>
      <c r="C18" s="29" t="s">
        <v>30</v>
      </c>
      <c r="D18" s="29"/>
      <c r="E18" s="38">
        <f t="shared" si="1"/>
        <v>0</v>
      </c>
    </row>
    <row r="19" spans="1:5" x14ac:dyDescent="0.25">
      <c r="A19" s="26" t="s">
        <v>13</v>
      </c>
      <c r="B19" s="15" t="s">
        <v>49</v>
      </c>
      <c r="C19" s="29" t="s">
        <v>30</v>
      </c>
      <c r="D19" s="29"/>
      <c r="E19" s="38">
        <f t="shared" si="1"/>
        <v>0</v>
      </c>
    </row>
    <row r="20" spans="1:5" x14ac:dyDescent="0.25">
      <c r="A20" s="26" t="s">
        <v>13</v>
      </c>
      <c r="B20" s="15" t="s">
        <v>50</v>
      </c>
      <c r="C20" s="29" t="s">
        <v>30</v>
      </c>
      <c r="D20" s="29"/>
      <c r="E20" s="38">
        <f t="shared" si="1"/>
        <v>0</v>
      </c>
    </row>
    <row r="21" spans="1:5" x14ac:dyDescent="0.25">
      <c r="A21" s="26" t="s">
        <v>13</v>
      </c>
      <c r="B21" s="15" t="s">
        <v>51</v>
      </c>
      <c r="C21" s="29" t="s">
        <v>30</v>
      </c>
      <c r="D21" s="29"/>
      <c r="E21" s="38">
        <f t="shared" si="1"/>
        <v>0</v>
      </c>
    </row>
    <row r="22" spans="1:5" x14ac:dyDescent="0.25">
      <c r="A22" s="26" t="s">
        <v>13</v>
      </c>
      <c r="B22" s="15" t="s">
        <v>52</v>
      </c>
      <c r="C22" s="29" t="s">
        <v>30</v>
      </c>
      <c r="D22" s="29"/>
      <c r="E22" s="38">
        <f t="shared" si="1"/>
        <v>0</v>
      </c>
    </row>
    <row r="23" spans="1:5" x14ac:dyDescent="0.25">
      <c r="A23" s="26" t="s">
        <v>12</v>
      </c>
      <c r="B23" s="15" t="s">
        <v>18</v>
      </c>
      <c r="C23" s="29" t="s">
        <v>30</v>
      </c>
      <c r="D23" s="29"/>
      <c r="E23" s="38">
        <f t="shared" si="1"/>
        <v>0</v>
      </c>
    </row>
    <row r="24" spans="1:5" x14ac:dyDescent="0.25">
      <c r="A24" s="26" t="s">
        <v>14</v>
      </c>
      <c r="B24" s="15" t="s">
        <v>53</v>
      </c>
      <c r="C24" s="29" t="s">
        <v>36</v>
      </c>
      <c r="D24" s="29"/>
      <c r="E24" s="38">
        <f t="shared" si="1"/>
        <v>0</v>
      </c>
    </row>
    <row r="25" spans="1:5" x14ac:dyDescent="0.25">
      <c r="A25" s="26" t="s">
        <v>13</v>
      </c>
      <c r="B25" s="15" t="s">
        <v>54</v>
      </c>
      <c r="C25" s="29" t="s">
        <v>30</v>
      </c>
      <c r="D25" s="29"/>
      <c r="E25" s="38">
        <f t="shared" si="1"/>
        <v>0</v>
      </c>
    </row>
    <row r="26" spans="1:5" x14ac:dyDescent="0.25">
      <c r="A26" s="26" t="s">
        <v>12</v>
      </c>
      <c r="B26" s="15" t="s">
        <v>19</v>
      </c>
      <c r="C26" s="29" t="s">
        <v>30</v>
      </c>
      <c r="D26" s="29"/>
      <c r="E26" s="38">
        <f t="shared" si="1"/>
        <v>0</v>
      </c>
    </row>
    <row r="27" spans="1:5" x14ac:dyDescent="0.25">
      <c r="A27" s="17"/>
      <c r="B27" s="4"/>
      <c r="C27" s="4"/>
      <c r="D27" s="4"/>
      <c r="E27" s="4"/>
    </row>
    <row r="28" spans="1:5" x14ac:dyDescent="0.25">
      <c r="A28" s="17"/>
      <c r="B28" s="4"/>
      <c r="C28" s="4"/>
      <c r="D28" s="4"/>
      <c r="E28" s="4"/>
    </row>
    <row r="29" spans="1:5" x14ac:dyDescent="0.25">
      <c r="A29" s="17"/>
      <c r="B29" s="4"/>
      <c r="C29" s="4"/>
      <c r="D29" s="4"/>
      <c r="E29" s="4"/>
    </row>
    <row r="30" spans="1:5" ht="15.75" thickBot="1" x14ac:dyDescent="0.3">
      <c r="A30" s="17"/>
      <c r="B30" s="4"/>
      <c r="C30" s="4"/>
      <c r="D30" s="4"/>
      <c r="E30" s="4"/>
    </row>
    <row r="31" spans="1:5" ht="15.75" thickBot="1" x14ac:dyDescent="0.3">
      <c r="A31" s="17"/>
      <c r="B31" s="30" t="s">
        <v>28</v>
      </c>
      <c r="C31" s="39">
        <f>SUM(E5:E26)/8</f>
        <v>1.06</v>
      </c>
      <c r="D31" s="36"/>
      <c r="E31" s="4"/>
    </row>
    <row r="32" spans="1:5" ht="15.75" thickTop="1" x14ac:dyDescent="0.25">
      <c r="A32" s="17"/>
      <c r="B32" s="4"/>
      <c r="C32" s="4"/>
      <c r="D32" s="4"/>
      <c r="E32" s="4"/>
    </row>
    <row r="33" spans="1:5" x14ac:dyDescent="0.25">
      <c r="A33" s="17"/>
      <c r="B33" s="4" t="s">
        <v>37</v>
      </c>
      <c r="C33" s="4"/>
      <c r="D33" s="4"/>
      <c r="E33" s="4"/>
    </row>
    <row r="34" spans="1:5" x14ac:dyDescent="0.25">
      <c r="A34" s="17"/>
      <c r="B34" s="4" t="s">
        <v>38</v>
      </c>
      <c r="C34" s="4"/>
      <c r="D34" s="4"/>
      <c r="E34" s="4"/>
    </row>
  </sheetData>
  <conditionalFormatting sqref="C5:D5 C18:D26 E9:E26 C7:D13">
    <cfRule type="expression" dxfId="446" priority="197">
      <formula>$C5="[ Bypassed ]"</formula>
    </cfRule>
    <cfRule type="expression" dxfId="445" priority="198">
      <formula>$C5="[ Done         ]"</formula>
    </cfRule>
    <cfRule type="expression" dxfId="444" priority="199">
      <formula>$C5="[ Pending… ]"</formula>
    </cfRule>
    <cfRule type="expression" dxfId="443" priority="200">
      <formula>$C5="[ To do        ]"</formula>
    </cfRule>
  </conditionalFormatting>
  <conditionalFormatting sqref="E23">
    <cfRule type="expression" dxfId="438" priority="185">
      <formula>$C23="[ Bypassed ]"</formula>
    </cfRule>
    <cfRule type="expression" dxfId="437" priority="186">
      <formula>$C23="[ Done         ]"</formula>
    </cfRule>
    <cfRule type="expression" dxfId="436" priority="187">
      <formula>$C23="[ Pending… ]"</formula>
    </cfRule>
    <cfRule type="expression" dxfId="435" priority="188">
      <formula>$C23="[ To do        ]"</formula>
    </cfRule>
  </conditionalFormatting>
  <conditionalFormatting sqref="E24">
    <cfRule type="expression" dxfId="430" priority="177">
      <formula>$C24="[ Bypassed ]"</formula>
    </cfRule>
    <cfRule type="expression" dxfId="429" priority="178">
      <formula>$C24="[ Done         ]"</formula>
    </cfRule>
    <cfRule type="expression" dxfId="428" priority="179">
      <formula>$C24="[ Pending… ]"</formula>
    </cfRule>
    <cfRule type="expression" dxfId="427" priority="180">
      <formula>$C24="[ To do        ]"</formula>
    </cfRule>
  </conditionalFormatting>
  <conditionalFormatting sqref="C7:E10 E5:E6">
    <cfRule type="expression" dxfId="422" priority="149">
      <formula>$C5="[ Bypassed ]"</formula>
    </cfRule>
    <cfRule type="expression" dxfId="421" priority="150">
      <formula>$C5="[ Done         ]"</formula>
    </cfRule>
    <cfRule type="expression" dxfId="420" priority="151">
      <formula>$C5="[ Pending… ]"</formula>
    </cfRule>
    <cfRule type="expression" dxfId="419" priority="152">
      <formula>$C5="[ To do        ]"</formula>
    </cfRule>
  </conditionalFormatting>
  <conditionalFormatting sqref="C24:D24">
    <cfRule type="expression" dxfId="414" priority="137">
      <formula>$C24="[ Bypassed ]"</formula>
    </cfRule>
    <cfRule type="expression" dxfId="413" priority="138">
      <formula>$C24="[ Done         ]"</formula>
    </cfRule>
    <cfRule type="expression" dxfId="412" priority="139">
      <formula>$C24="[ Pending… ]"</formula>
    </cfRule>
    <cfRule type="expression" dxfId="411" priority="140">
      <formula>$C24="[ To do        ]"</formula>
    </cfRule>
  </conditionalFormatting>
  <conditionalFormatting sqref="E5">
    <cfRule type="expression" dxfId="406" priority="125">
      <formula>$C5="[ Bypassed ]"</formula>
    </cfRule>
    <cfRule type="expression" dxfId="405" priority="126">
      <formula>$C5="[ Done         ]"</formula>
    </cfRule>
    <cfRule type="expression" dxfId="404" priority="127">
      <formula>$C5="[ Pending… ]"</formula>
    </cfRule>
    <cfRule type="expression" dxfId="403" priority="128">
      <formula>$C5="[ To do        ]"</formula>
    </cfRule>
  </conditionalFormatting>
  <conditionalFormatting sqref="C6:D6">
    <cfRule type="expression" dxfId="398" priority="113">
      <formula>$C6="[ Bypassed ]"</formula>
    </cfRule>
    <cfRule type="expression" dxfId="397" priority="114">
      <formula>$C6="[ Done         ]"</formula>
    </cfRule>
    <cfRule type="expression" dxfId="396" priority="115">
      <formula>$C6="[ Pending… ]"</formula>
    </cfRule>
    <cfRule type="expression" dxfId="395" priority="116">
      <formula>$C6="[ To do        ]"</formula>
    </cfRule>
  </conditionalFormatting>
  <conditionalFormatting sqref="E6">
    <cfRule type="expression" dxfId="390" priority="101">
      <formula>$C6="[ Bypassed ]"</formula>
    </cfRule>
    <cfRule type="expression" dxfId="389" priority="102">
      <formula>$C6="[ Done         ]"</formula>
    </cfRule>
    <cfRule type="expression" dxfId="388" priority="103">
      <formula>$C6="[ Pending… ]"</formula>
    </cfRule>
    <cfRule type="expression" dxfId="387" priority="104">
      <formula>$C6="[ To do        ]"</formula>
    </cfRule>
  </conditionalFormatting>
  <conditionalFormatting sqref="E11:E12">
    <cfRule type="expression" dxfId="382" priority="89">
      <formula>$C11="[ Bypassed ]"</formula>
    </cfRule>
    <cfRule type="expression" dxfId="381" priority="90">
      <formula>$C11="[ Done         ]"</formula>
    </cfRule>
    <cfRule type="expression" dxfId="380" priority="91">
      <formula>$C11="[ Pending… ]"</formula>
    </cfRule>
    <cfRule type="expression" dxfId="379" priority="92">
      <formula>$C11="[ To do        ]"</formula>
    </cfRule>
  </conditionalFormatting>
  <conditionalFormatting sqref="C15:D15">
    <cfRule type="expression" dxfId="374" priority="77">
      <formula>$C15="[ Bypassed ]"</formula>
    </cfRule>
    <cfRule type="expression" dxfId="373" priority="78">
      <formula>$C15="[ Done         ]"</formula>
    </cfRule>
    <cfRule type="expression" dxfId="372" priority="79">
      <formula>$C15="[ Pending… ]"</formula>
    </cfRule>
    <cfRule type="expression" dxfId="371" priority="80">
      <formula>$C15="[ To do        ]"</formula>
    </cfRule>
  </conditionalFormatting>
  <conditionalFormatting sqref="E15">
    <cfRule type="expression" dxfId="366" priority="65">
      <formula>$C15="[ Bypassed ]"</formula>
    </cfRule>
    <cfRule type="expression" dxfId="365" priority="66">
      <formula>$C15="[ Done         ]"</formula>
    </cfRule>
    <cfRule type="expression" dxfId="364" priority="67">
      <formula>$C15="[ Pending… ]"</formula>
    </cfRule>
    <cfRule type="expression" dxfId="363" priority="68">
      <formula>$C15="[ To do        ]"</formula>
    </cfRule>
  </conditionalFormatting>
  <conditionalFormatting sqref="C16:D16">
    <cfRule type="expression" dxfId="358" priority="53">
      <formula>$C16="[ Bypassed ]"</formula>
    </cfRule>
    <cfRule type="expression" dxfId="357" priority="54">
      <formula>$C16="[ Done         ]"</formula>
    </cfRule>
    <cfRule type="expression" dxfId="356" priority="55">
      <formula>$C16="[ Pending… ]"</formula>
    </cfRule>
    <cfRule type="expression" dxfId="355" priority="56">
      <formula>$C16="[ To do        ]"</formula>
    </cfRule>
  </conditionalFormatting>
  <conditionalFormatting sqref="E16">
    <cfRule type="expression" dxfId="350" priority="41">
      <formula>$C16="[ Bypassed ]"</formula>
    </cfRule>
    <cfRule type="expression" dxfId="349" priority="42">
      <formula>$C16="[ Done         ]"</formula>
    </cfRule>
    <cfRule type="expression" dxfId="348" priority="43">
      <formula>$C16="[ Pending… ]"</formula>
    </cfRule>
    <cfRule type="expression" dxfId="347" priority="44">
      <formula>$C16="[ To do        ]"</formula>
    </cfRule>
  </conditionalFormatting>
  <conditionalFormatting sqref="C17:D17">
    <cfRule type="expression" dxfId="342" priority="29">
      <formula>$C17="[ Bypassed ]"</formula>
    </cfRule>
    <cfRule type="expression" dxfId="341" priority="30">
      <formula>$C17="[ Done         ]"</formula>
    </cfRule>
    <cfRule type="expression" dxfId="340" priority="31">
      <formula>$C17="[ Pending… ]"</formula>
    </cfRule>
    <cfRule type="expression" dxfId="339" priority="32">
      <formula>$C17="[ To do        ]"</formula>
    </cfRule>
  </conditionalFormatting>
  <conditionalFormatting sqref="E17">
    <cfRule type="expression" dxfId="334" priority="17">
      <formula>$C17="[ Bypassed ]"</formula>
    </cfRule>
    <cfRule type="expression" dxfId="333" priority="18">
      <formula>$C17="[ Done         ]"</formula>
    </cfRule>
    <cfRule type="expression" dxfId="332" priority="19">
      <formula>$C17="[ Pending… ]"</formula>
    </cfRule>
    <cfRule type="expression" dxfId="331" priority="20">
      <formula>$C17="[ To do        ]"</formula>
    </cfRule>
  </conditionalFormatting>
  <conditionalFormatting sqref="C25:E26">
    <cfRule type="expression" dxfId="326" priority="1">
      <formula>$C25="[ Bypassed ]"</formula>
    </cfRule>
    <cfRule type="expression" dxfId="325" priority="2">
      <formula>$C25="[ Done         ]"</formula>
    </cfRule>
    <cfRule type="expression" dxfId="324" priority="3">
      <formula>$C25="[ Pending… ]"</formula>
    </cfRule>
    <cfRule type="expression" dxfId="323" priority="4">
      <formula>$C25="[ To do        ]"</formula>
    </cfRule>
  </conditionalFormatting>
  <conditionalFormatting sqref="A25 B26 C25:E26 A5:B24 C5:D5 E5:E24">
    <cfRule type="expression" dxfId="318" priority="205">
      <formula>#REF!=#REF!</formula>
    </cfRule>
    <cfRule type="expression" dxfId="317" priority="206">
      <formula>#REF!=#REF!</formula>
    </cfRule>
    <cfRule type="expression" dxfId="316" priority="207">
      <formula>#REF!=#REF!</formula>
    </cfRule>
    <cfRule type="expression" dxfId="315" priority="208">
      <formula>#REF!=#REF!</formula>
    </cfRule>
  </conditionalFormatting>
  <conditionalFormatting sqref="A26 C18:D26 E9:E26 C7:D13">
    <cfRule type="expression" dxfId="270" priority="169">
      <formula>#REF!=#REF!</formula>
    </cfRule>
    <cfRule type="expression" dxfId="269" priority="170">
      <formula>#REF!=#REF!</formula>
    </cfRule>
    <cfRule type="expression" dxfId="268" priority="171">
      <formula>#REF!=#REF!</formula>
    </cfRule>
    <cfRule type="expression" dxfId="267" priority="172">
      <formula>#REF!=#REF!</formula>
    </cfRule>
  </conditionalFormatting>
  <conditionalFormatting sqref="B25">
    <cfRule type="expression" dxfId="262" priority="165">
      <formula>#REF!=#REF!</formula>
    </cfRule>
    <cfRule type="expression" dxfId="261" priority="166">
      <formula>#REF!=#REF!</formula>
    </cfRule>
    <cfRule type="expression" dxfId="260" priority="167">
      <formula>#REF!=#REF!</formula>
    </cfRule>
    <cfRule type="expression" dxfId="259" priority="168">
      <formula>#REF!=#REF!</formula>
    </cfRule>
  </conditionalFormatting>
  <conditionalFormatting sqref="C7:E10 E5:E6">
    <cfRule type="expression" dxfId="246" priority="157">
      <formula>#REF!=#REF!</formula>
    </cfRule>
    <cfRule type="expression" dxfId="245" priority="158">
      <formula>#REF!=#REF!</formula>
    </cfRule>
    <cfRule type="expression" dxfId="244" priority="159">
      <formula>#REF!=#REF!</formula>
    </cfRule>
    <cfRule type="expression" dxfId="243" priority="160">
      <formula>#REF!=#REF!</formula>
    </cfRule>
  </conditionalFormatting>
  <conditionalFormatting sqref="C24:D24">
    <cfRule type="expression" dxfId="230" priority="145">
      <formula>#REF!=#REF!</formula>
    </cfRule>
    <cfRule type="expression" dxfId="229" priority="146">
      <formula>#REF!=#REF!</formula>
    </cfRule>
    <cfRule type="expression" dxfId="228" priority="147">
      <formula>#REF!=#REF!</formula>
    </cfRule>
    <cfRule type="expression" dxfId="227" priority="148">
      <formula>#REF!=#REF!</formula>
    </cfRule>
  </conditionalFormatting>
  <conditionalFormatting sqref="E5">
    <cfRule type="expression" dxfId="214" priority="133">
      <formula>#REF!=#REF!</formula>
    </cfRule>
    <cfRule type="expression" dxfId="213" priority="134">
      <formula>#REF!=#REF!</formula>
    </cfRule>
    <cfRule type="expression" dxfId="212" priority="135">
      <formula>#REF!=#REF!</formula>
    </cfRule>
    <cfRule type="expression" dxfId="211" priority="136">
      <formula>#REF!=#REF!</formula>
    </cfRule>
  </conditionalFormatting>
  <conditionalFormatting sqref="C6:D6">
    <cfRule type="expression" dxfId="198" priority="121">
      <formula>#REF!=#REF!</formula>
    </cfRule>
    <cfRule type="expression" dxfId="197" priority="122">
      <formula>#REF!=#REF!</formula>
    </cfRule>
    <cfRule type="expression" dxfId="196" priority="123">
      <formula>#REF!=#REF!</formula>
    </cfRule>
    <cfRule type="expression" dxfId="195" priority="124">
      <formula>#REF!=#REF!</formula>
    </cfRule>
  </conditionalFormatting>
  <conditionalFormatting sqref="E6">
    <cfRule type="expression" dxfId="182" priority="109">
      <formula>#REF!=#REF!</formula>
    </cfRule>
    <cfRule type="expression" dxfId="181" priority="110">
      <formula>#REF!=#REF!</formula>
    </cfRule>
    <cfRule type="expression" dxfId="180" priority="111">
      <formula>#REF!=#REF!</formula>
    </cfRule>
    <cfRule type="expression" dxfId="179" priority="112">
      <formula>#REF!=#REF!</formula>
    </cfRule>
  </conditionalFormatting>
  <conditionalFormatting sqref="E11:E12">
    <cfRule type="expression" dxfId="166" priority="97">
      <formula>#REF!=#REF!</formula>
    </cfRule>
    <cfRule type="expression" dxfId="165" priority="98">
      <formula>#REF!=#REF!</formula>
    </cfRule>
    <cfRule type="expression" dxfId="164" priority="99">
      <formula>#REF!=#REF!</formula>
    </cfRule>
    <cfRule type="expression" dxfId="163" priority="100">
      <formula>#REF!=#REF!</formula>
    </cfRule>
  </conditionalFormatting>
  <conditionalFormatting sqref="C15:D15">
    <cfRule type="expression" dxfId="150" priority="85">
      <formula>#REF!=#REF!</formula>
    </cfRule>
    <cfRule type="expression" dxfId="149" priority="86">
      <formula>#REF!=#REF!</formula>
    </cfRule>
    <cfRule type="expression" dxfId="148" priority="87">
      <formula>#REF!=#REF!</formula>
    </cfRule>
    <cfRule type="expression" dxfId="147" priority="88">
      <formula>#REF!=#REF!</formula>
    </cfRule>
  </conditionalFormatting>
  <conditionalFormatting sqref="E15">
    <cfRule type="expression" dxfId="134" priority="73">
      <formula>#REF!=#REF!</formula>
    </cfRule>
    <cfRule type="expression" dxfId="133" priority="74">
      <formula>#REF!=#REF!</formula>
    </cfRule>
    <cfRule type="expression" dxfId="132" priority="75">
      <formula>#REF!=#REF!</formula>
    </cfRule>
    <cfRule type="expression" dxfId="131" priority="76">
      <formula>#REF!=#REF!</formula>
    </cfRule>
  </conditionalFormatting>
  <conditionalFormatting sqref="C16:D16">
    <cfRule type="expression" dxfId="118" priority="61">
      <formula>#REF!=#REF!</formula>
    </cfRule>
    <cfRule type="expression" dxfId="117" priority="62">
      <formula>#REF!=#REF!</formula>
    </cfRule>
    <cfRule type="expression" dxfId="116" priority="63">
      <formula>#REF!=#REF!</formula>
    </cfRule>
    <cfRule type="expression" dxfId="115" priority="64">
      <formula>#REF!=#REF!</formula>
    </cfRule>
  </conditionalFormatting>
  <conditionalFormatting sqref="E16">
    <cfRule type="expression" dxfId="102" priority="49">
      <formula>#REF!=#REF!</formula>
    </cfRule>
    <cfRule type="expression" dxfId="101" priority="50">
      <formula>#REF!=#REF!</formula>
    </cfRule>
    <cfRule type="expression" dxfId="100" priority="51">
      <formula>#REF!=#REF!</formula>
    </cfRule>
    <cfRule type="expression" dxfId="99" priority="52">
      <formula>#REF!=#REF!</formula>
    </cfRule>
  </conditionalFormatting>
  <conditionalFormatting sqref="C17:D17">
    <cfRule type="expression" dxfId="86" priority="37">
      <formula>#REF!=#REF!</formula>
    </cfRule>
    <cfRule type="expression" dxfId="85" priority="38">
      <formula>#REF!=#REF!</formula>
    </cfRule>
    <cfRule type="expression" dxfId="84" priority="39">
      <formula>#REF!=#REF!</formula>
    </cfRule>
    <cfRule type="expression" dxfId="83" priority="40">
      <formula>#REF!=#REF!</formula>
    </cfRule>
  </conditionalFormatting>
  <conditionalFormatting sqref="E17">
    <cfRule type="expression" dxfId="70" priority="25">
      <formula>#REF!=#REF!</formula>
    </cfRule>
    <cfRule type="expression" dxfId="69" priority="26">
      <formula>#REF!=#REF!</formula>
    </cfRule>
    <cfRule type="expression" dxfId="68" priority="27">
      <formula>#REF!=#REF!</formula>
    </cfRule>
    <cfRule type="expression" dxfId="67" priority="28">
      <formula>#REF!=#REF!</formula>
    </cfRule>
  </conditionalFormatting>
  <conditionalFormatting sqref="C14:D14">
    <cfRule type="expression" dxfId="54" priority="13">
      <formula>#REF!=#REF!</formula>
    </cfRule>
    <cfRule type="expression" dxfId="53" priority="14">
      <formula>#REF!=#REF!</formula>
    </cfRule>
    <cfRule type="expression" dxfId="52" priority="15">
      <formula>#REF!=#REF!</formula>
    </cfRule>
    <cfRule type="expression" dxfId="51" priority="16">
      <formula>#REF!=#REF!</formula>
    </cfRule>
  </conditionalFormatting>
  <conditionalFormatting sqref="A5:E26">
    <cfRule type="expression" dxfId="30" priority="209">
      <formula>#REF!=#REF!</formula>
    </cfRule>
  </conditionalFormatting>
  <dataValidations count="1">
    <dataValidation type="list" allowBlank="1" showInputMessage="1" showErrorMessage="1" sqref="A27:A34">
      <formula1>#REF!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1" id="{DF5A93C9-B631-48AB-ADB6-00A9DC231B32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E3B4C020-F404-4C3E-B120-3D7A2CA7F840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80D84445-D54D-4377-A715-EB025CFC331A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070FA6A9-014F-4DEA-854F-55169382DBD5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E5:E26</xm:sqref>
        </x14:conditionalFormatting>
        <x14:conditionalFormatting xmlns:xm="http://schemas.microsoft.com/office/excel/2006/main">
          <x14:cfRule type="expression" priority="193" id="{BF00AE30-C1AD-4D82-8959-DDD0D1F3E0D3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4" id="{0040BA72-FE64-4B98-9EBF-1F7537C7D546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5" id="{8DBC6B49-9C0C-4BD0-82A8-3FC66181DA4F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6" id="{EE972E06-CB3D-41FD-B68E-704B9B2CF521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B6:B22 C18:D26 E9:E26 C7:D13 C5:D5</xm:sqref>
        </x14:conditionalFormatting>
        <x14:conditionalFormatting xmlns:xm="http://schemas.microsoft.com/office/excel/2006/main">
          <x14:cfRule type="expression" priority="189" id="{818BBBEF-5637-4F28-82E9-8E9B252C3D7B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CE82B7B9-F906-4676-B035-C3BF05081217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D315E59C-2796-4A02-847D-882D8EDD4468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92F93469-0AD9-4B34-8C56-43654F3E6EAD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E23 B5</xm:sqref>
        </x14:conditionalFormatting>
        <x14:conditionalFormatting xmlns:xm="http://schemas.microsoft.com/office/excel/2006/main">
          <x14:cfRule type="expression" priority="181" id="{1CFA9AC7-63DD-466F-AD7C-3641F0C0ACF9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2" id="{847BA251-C8EE-47A8-BCBD-6BBB0F33944D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3" id="{18B6EC0B-1C69-4D5F-A661-D3B220A83970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4" id="{8E09F606-7563-495C-8BFE-AB1871C58D0D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B23</xm:sqref>
        </x14:conditionalFormatting>
        <x14:conditionalFormatting xmlns:xm="http://schemas.microsoft.com/office/excel/2006/main">
          <x14:cfRule type="expression" priority="173" id="{F94911CA-1388-468C-B9E1-70BF62845AD4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E1E65E0C-3D6B-46CE-96A4-4248615B285E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D6AD639B-783D-4EF4-A6EA-C02DA7B4E6AA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483AA8D7-71C7-49B0-AA16-AC7AFE28DB4C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B24</xm:sqref>
        </x14:conditionalFormatting>
        <x14:conditionalFormatting xmlns:xm="http://schemas.microsoft.com/office/excel/2006/main">
          <x14:cfRule type="expression" priority="161" id="{5E87924E-3057-491F-8AE3-940118D96FE5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3D3DEE07-2BB5-4B4A-A3F7-A6234EDB139A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AFB3127D-6942-423E-99FB-331C1AB77F7F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00259E12-F9D7-4F2F-9FD5-0E0EB10CCD9F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B25</xm:sqref>
        </x14:conditionalFormatting>
        <x14:conditionalFormatting xmlns:xm="http://schemas.microsoft.com/office/excel/2006/main">
          <x14:cfRule type="expression" priority="153" id="{40D302DA-C4DB-4529-8AE7-9C5698F44C39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0E659BC4-1244-4E45-BBF9-66ECF472F5EE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F595B5A4-FF6E-479F-815D-18625EC2B7EB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66240C90-FCBA-4879-84D6-D3DA612EB5A7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C7:E10 E5:E6</xm:sqref>
        </x14:conditionalFormatting>
        <x14:conditionalFormatting xmlns:xm="http://schemas.microsoft.com/office/excel/2006/main">
          <x14:cfRule type="expression" priority="141" id="{D11246DF-79DE-4980-AECB-DD477E8F8B01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D86E2BAB-8899-4729-9AB1-B85FC00CFD33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CDCC0F5F-9D41-4B9C-8946-976DD519FBF9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DED4D253-1272-4CF0-945E-7C500EFCE917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C24:D24</xm:sqref>
        </x14:conditionalFormatting>
        <x14:conditionalFormatting xmlns:xm="http://schemas.microsoft.com/office/excel/2006/main">
          <x14:cfRule type="expression" priority="129" id="{0B4922E2-E9DE-4774-9FC4-13E15A8B483B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48F433DE-0C5F-4C2A-ACF4-EC5EDFE60672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6B53F8A1-D0FA-4F52-AA20-2E6C02972717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60C7C36C-EF96-4AF0-B368-13310D6A8491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</xm:sqref>
        </x14:conditionalFormatting>
        <x14:conditionalFormatting xmlns:xm="http://schemas.microsoft.com/office/excel/2006/main">
          <x14:cfRule type="expression" priority="117" id="{EDCAF770-07FF-4382-82E3-44A5218A7D09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CA8E11AA-3BC5-43C0-8B80-EC1272EADC16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C4345299-5ABF-4E86-BA44-DF66EDD9F063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44A50E1A-128F-4701-9E15-23F3F7574681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C6:D6</xm:sqref>
        </x14:conditionalFormatting>
        <x14:conditionalFormatting xmlns:xm="http://schemas.microsoft.com/office/excel/2006/main">
          <x14:cfRule type="expression" priority="105" id="{52326059-E677-4DA5-BADD-8EE0C8B43268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C4C96CD-ED79-4960-AF42-3471F066B606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3A61EF29-C703-4B64-8429-6423D870BCC8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9201C255-09E4-4F19-BD5E-34D94E85A7A0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E6</xm:sqref>
        </x14:conditionalFormatting>
        <x14:conditionalFormatting xmlns:xm="http://schemas.microsoft.com/office/excel/2006/main">
          <x14:cfRule type="expression" priority="93" id="{30709537-B651-4DA5-9E1E-E9F762F57D1A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0335CB74-F272-4DE5-929B-5184FD257339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522C2180-B750-464B-93FB-F50422091233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5C050E1E-8F7A-4908-A336-0C7438CE346F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E11:E12</xm:sqref>
        </x14:conditionalFormatting>
        <x14:conditionalFormatting xmlns:xm="http://schemas.microsoft.com/office/excel/2006/main">
          <x14:cfRule type="expression" priority="81" id="{3A462DCA-7157-4F89-A382-3655BB6751AA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7BEB3DED-DDFE-455A-B8C3-71F5BF395F52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AC1088C6-AB96-4C6D-9C2A-215CF493F969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9E4BB1E4-4BFF-474B-BFD1-4C26B7058A79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C15:D15</xm:sqref>
        </x14:conditionalFormatting>
        <x14:conditionalFormatting xmlns:xm="http://schemas.microsoft.com/office/excel/2006/main">
          <x14:cfRule type="expression" priority="69" id="{3980C890-663E-4463-889D-09BB72FAAF83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9CF86A70-389F-433C-82DB-301202BCA1AB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A6A10632-47A3-48D3-BB25-D43171D11E5D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DAFC3BE3-F480-42D9-AB32-2A61A4F99344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</xm:sqref>
        </x14:conditionalFormatting>
        <x14:conditionalFormatting xmlns:xm="http://schemas.microsoft.com/office/excel/2006/main">
          <x14:cfRule type="expression" priority="57" id="{EE29DCCD-A458-4586-A449-6D6F65688F7C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C64288F0-D712-4637-8D73-48A95D799650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4A256735-9087-4B13-B634-E36495457D91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C241FFB6-8688-4E8B-8E24-E496BFE26DED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C16:D16</xm:sqref>
        </x14:conditionalFormatting>
        <x14:conditionalFormatting xmlns:xm="http://schemas.microsoft.com/office/excel/2006/main">
          <x14:cfRule type="expression" priority="45" id="{2210676F-F019-4F9B-B5B8-DECF97D2FF88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" id="{AF807254-5993-4FFD-A5AE-8B33191D8EBE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7" id="{544378D2-653B-4009-9BF5-F4396FD11225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8" id="{2F95B764-C2CB-4799-86E3-C95D3EEDE759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E16</xm:sqref>
        </x14:conditionalFormatting>
        <x14:conditionalFormatting xmlns:xm="http://schemas.microsoft.com/office/excel/2006/main">
          <x14:cfRule type="expression" priority="33" id="{4D3749A2-060A-42AD-8B99-B210AFC9F99F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1075CF89-5C70-4FBA-8D1D-A50B823DD384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7F0DC729-E20A-4016-B1F2-0DA8B935D34C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CD769B61-E090-4DD1-87C0-04A8DC8125B0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C17:D17</xm:sqref>
        </x14:conditionalFormatting>
        <x14:conditionalFormatting xmlns:xm="http://schemas.microsoft.com/office/excel/2006/main">
          <x14:cfRule type="expression" priority="21" id="{892810A0-D5C6-4409-891F-8291E4A1EC66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2" id="{13896871-19B4-425B-AF3B-68E5B558BFFD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3" id="{CBDD34E2-F694-4C8C-9EA5-D821C8BE16BE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" id="{13AF5EE1-BBD2-4C79-8DB9-3A19A12283AF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E17</xm:sqref>
        </x14:conditionalFormatting>
        <x14:conditionalFormatting xmlns:xm="http://schemas.microsoft.com/office/excel/2006/main">
          <x14:cfRule type="expression" priority="9" id="{0D4961AC-CDDE-439E-9CE2-E4B5E09D412F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509429F1-B006-4F79-92F7-121B6DF2772A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0B9FA393-4287-46E0-9E49-41D6F20EE820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7BDE33F4-4E3F-4F4F-AC42-1A4E1B92E10B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C14:D14</xm:sqref>
        </x14:conditionalFormatting>
        <x14:conditionalFormatting xmlns:xm="http://schemas.microsoft.com/office/excel/2006/main">
          <x14:cfRule type="expression" priority="5" id="{16EB4C82-C83C-400B-9E87-A30E53B618B4}">
            <xm:f>#REF!='\Users\gletellier\Documents\201401\17.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AAC5246F-7F6D-44E1-A261-1E1286A54DBD}">
            <xm:f>#REF!='\Users\gletellier\Documents\201401\17.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68E7035E-D3B1-47D0-A242-30F819AEAF44}">
            <xm:f>#REF!='\Users\gletellier\Documents\201401\17.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5C9694B8-07F1-4CDB-90D1-D0BA9F8F0447}">
            <xm:f>#REF!='\Users\gletellier\Documents\201401\17.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C25:E26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Sheet1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De Roy</dc:creator>
  <cp:lastModifiedBy>bkokobe</cp:lastModifiedBy>
  <dcterms:created xsi:type="dcterms:W3CDTF">2012-12-13T08:07:28Z</dcterms:created>
  <dcterms:modified xsi:type="dcterms:W3CDTF">2016-05-27T21:03:59Z</dcterms:modified>
</cp:coreProperties>
</file>